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utdownholecom-my.sharepoint.com/personal/jsoberanes_scoutdownhole_com/Documents/Drilling Opt Projects/Scorecard/Scorecard Sep 2025/"/>
    </mc:Choice>
  </mc:AlternateContent>
  <xr:revisionPtr revIDLastSave="150" documentId="8_{4130927C-2FA4-4AC5-9A75-1F13F6AD550B}" xr6:coauthVersionLast="47" xr6:coauthVersionMax="47" xr10:uidLastSave="{748F2A40-FCF7-4B2E-BFAB-4004C7DA2190}"/>
  <bookViews>
    <workbookView xWindow="29970" yWindow="1260" windowWidth="21600" windowHeight="11355" xr2:uid="{59443857-6105-43DF-9F30-FC20D0D3D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I3" i="1" l="1"/>
  <c r="FI2" i="1"/>
  <c r="EE3" i="1"/>
  <c r="FJ5" i="1" l="1"/>
  <c r="FJ4" i="1"/>
  <c r="FJ2" i="1"/>
  <c r="FJ3" i="1"/>
  <c r="FF2" i="1"/>
  <c r="FF3" i="1"/>
  <c r="FF4" i="1"/>
  <c r="FF5" i="1"/>
  <c r="FE3" i="1" l="1"/>
  <c r="FE4" i="1"/>
  <c r="FE5" i="1"/>
  <c r="FE2" i="1"/>
  <c r="FD3" i="1"/>
  <c r="FD4" i="1"/>
  <c r="FD5" i="1"/>
  <c r="FD2" i="1"/>
  <c r="FC3" i="1"/>
  <c r="FC2" i="1"/>
</calcChain>
</file>

<file path=xl/sharedStrings.xml><?xml version="1.0" encoding="utf-8"?>
<sst xmlns="http://schemas.openxmlformats.org/spreadsheetml/2006/main" count="829" uniqueCount="315">
  <si>
    <t>Operator</t>
  </si>
  <si>
    <t>Rig</t>
  </si>
  <si>
    <t>Well Name</t>
  </si>
  <si>
    <t>Target Formation</t>
  </si>
  <si>
    <t>State</t>
  </si>
  <si>
    <t>County</t>
  </si>
  <si>
    <t>LAT</t>
  </si>
  <si>
    <t>LON</t>
  </si>
  <si>
    <t>Job #</t>
  </si>
  <si>
    <t>Hole Size</t>
  </si>
  <si>
    <t>Run #</t>
  </si>
  <si>
    <t>Section</t>
  </si>
  <si>
    <t>Start of Run</t>
  </si>
  <si>
    <t>End of Run</t>
  </si>
  <si>
    <t>BRT</t>
  </si>
  <si>
    <t>MD In</t>
  </si>
  <si>
    <t>MD Out</t>
  </si>
  <si>
    <t>Footage</t>
  </si>
  <si>
    <t>C+D Hrs</t>
  </si>
  <si>
    <t>Drilling Hrs</t>
  </si>
  <si>
    <t>Avg ROP</t>
  </si>
  <si>
    <t>ROT ROP</t>
  </si>
  <si>
    <t>Slide ROP</t>
  </si>
  <si>
    <t>Slide Footage</t>
  </si>
  <si>
    <t>AVG RPM</t>
  </si>
  <si>
    <t>Avg Diff</t>
  </si>
  <si>
    <t>Avg GPM</t>
  </si>
  <si>
    <t>Max GPM</t>
  </si>
  <si>
    <t xml:space="preserve">Yield &gt;45 deg </t>
  </si>
  <si>
    <t>Motor Type</t>
  </si>
  <si>
    <t>Stator Size</t>
  </si>
  <si>
    <t>Motor #</t>
  </si>
  <si>
    <t>Stage/Lobe</t>
  </si>
  <si>
    <t>Bend</t>
  </si>
  <si>
    <t>Fit</t>
  </si>
  <si>
    <t>Elastomer</t>
  </si>
  <si>
    <t>Reline Supplier</t>
  </si>
  <si>
    <t>Fluid</t>
  </si>
  <si>
    <t>Max Temp</t>
  </si>
  <si>
    <t>CAM Stab #1</t>
  </si>
  <si>
    <t>CAM Stab #2</t>
  </si>
  <si>
    <t>String Stab</t>
  </si>
  <si>
    <t>Bit Make</t>
  </si>
  <si>
    <t>Bit Model</t>
  </si>
  <si>
    <t xml:space="preserve">Bit Part Number </t>
  </si>
  <si>
    <t xml:space="preserve">TFA </t>
  </si>
  <si>
    <t>Bit Grade</t>
  </si>
  <si>
    <t>Reason for Trip</t>
  </si>
  <si>
    <t>Comments</t>
  </si>
  <si>
    <t>DDs</t>
  </si>
  <si>
    <t>Incident #</t>
  </si>
  <si>
    <t>Reported As</t>
  </si>
  <si>
    <t>FBH 1 or FBH 2</t>
  </si>
  <si>
    <t>Motor Length (ft)</t>
  </si>
  <si>
    <t>Tool Size</t>
  </si>
  <si>
    <t>OPERATOR</t>
  </si>
  <si>
    <t>RIG</t>
  </si>
  <si>
    <t>JOBNUM</t>
  </si>
  <si>
    <t>WELL</t>
  </si>
  <si>
    <t>COUNTY</t>
  </si>
  <si>
    <t>STATE</t>
  </si>
  <si>
    <t>BHA</t>
  </si>
  <si>
    <t>BHA_DESC</t>
  </si>
  <si>
    <t>FORMATION</t>
  </si>
  <si>
    <t>DATEIN</t>
  </si>
  <si>
    <t>DATEOUT</t>
  </si>
  <si>
    <t>DEPTHIN</t>
  </si>
  <si>
    <t>DEPTHOUT</t>
  </si>
  <si>
    <t>TOTAL DRILL</t>
  </si>
  <si>
    <t>ROTATE DRILL</t>
  </si>
  <si>
    <t>ROTATE HRS</t>
  </si>
  <si>
    <t>ROTATE ROP</t>
  </si>
  <si>
    <t>SLIDE ROP</t>
  </si>
  <si>
    <t>AVG ROP</t>
  </si>
  <si>
    <t>LEAD_DD</t>
  </si>
  <si>
    <t>CO_MAN</t>
  </si>
  <si>
    <t>TIME_IN</t>
  </si>
  <si>
    <t>TIME_OUT</t>
  </si>
  <si>
    <t>CIRC_HOURS</t>
  </si>
  <si>
    <t>DRILLING_HOURS</t>
  </si>
  <si>
    <t>SLIDE_DRILLED</t>
  </si>
  <si>
    <t>SLIDE_HOURS</t>
  </si>
  <si>
    <t>BIT_MAKE</t>
  </si>
  <si>
    <t>BIT_MODEL</t>
  </si>
  <si>
    <t>BIT_NUM</t>
  </si>
  <si>
    <t>TFA</t>
  </si>
  <si>
    <t>GRADEIN</t>
  </si>
  <si>
    <t>GRADEOUT</t>
  </si>
  <si>
    <t>MUD_WEIGHT</t>
  </si>
  <si>
    <t>FLUID_TYPE</t>
  </si>
  <si>
    <t>SOLIDS</t>
  </si>
  <si>
    <t>PV</t>
  </si>
  <si>
    <t>YP</t>
  </si>
  <si>
    <t>CHLORIDES</t>
  </si>
  <si>
    <t>BHT</t>
  </si>
  <si>
    <t>MOTOR_OD</t>
  </si>
  <si>
    <t>MOTOR_DESCRIPTION</t>
  </si>
  <si>
    <t>SN</t>
  </si>
  <si>
    <t>MOTOR_MODEL</t>
  </si>
  <si>
    <t>MOTOR_MAKE</t>
  </si>
  <si>
    <t>BENDANGLE</t>
  </si>
  <si>
    <t>HOUSIN_TYPE</t>
  </si>
  <si>
    <t>BIT2BEND</t>
  </si>
  <si>
    <t>MOTO_LOBES</t>
  </si>
  <si>
    <t>MOTOR_STAGES</t>
  </si>
  <si>
    <t>PLANNEDDLS</t>
  </si>
  <si>
    <t>ACTDLS</t>
  </si>
  <si>
    <t>MOTORYIELD</t>
  </si>
  <si>
    <t>ON_BTM_PRESS</t>
  </si>
  <si>
    <t>RPM</t>
  </si>
  <si>
    <t>DIFF_PRESS</t>
  </si>
  <si>
    <t>MAX_DIFFP</t>
  </si>
  <si>
    <t>ON_BTM_TQ</t>
  </si>
  <si>
    <t>MAX_TORQUE</t>
  </si>
  <si>
    <t>FLOW_RATE</t>
  </si>
  <si>
    <t>MAX_FLOW</t>
  </si>
  <si>
    <t>WOB</t>
  </si>
  <si>
    <t>COMMENTS</t>
  </si>
  <si>
    <t>ADDITIONAL_COMMENTS</t>
  </si>
  <si>
    <t>UNPLANNED_TRIP</t>
  </si>
  <si>
    <t>MOTOR_FAILURE</t>
  </si>
  <si>
    <t>MWD_FAILURE</t>
  </si>
  <si>
    <t>LIH</t>
  </si>
  <si>
    <t>TRIP_FOR_FAILURE</t>
  </si>
  <si>
    <t>NPT</t>
  </si>
  <si>
    <t>HRS_TO_FAIL</t>
  </si>
  <si>
    <t>NUM_STALLS</t>
  </si>
  <si>
    <t>WASH_REAM_TIME</t>
  </si>
  <si>
    <t>DRY_REAM_TIME</t>
  </si>
  <si>
    <t>PU</t>
  </si>
  <si>
    <t>ROT</t>
  </si>
  <si>
    <t>SO</t>
  </si>
  <si>
    <t>SURFACEFINDINGS</t>
  </si>
  <si>
    <t>SHOPFINDINGS</t>
  </si>
  <si>
    <t>TROUBLESHOOTING</t>
  </si>
  <si>
    <t>EVALUATION</t>
  </si>
  <si>
    <t>PULSERTYPE</t>
  </si>
  <si>
    <t>PULSER_SN</t>
  </si>
  <si>
    <t>MWDTYPE</t>
  </si>
  <si>
    <t>BATTERY1_SN</t>
  </si>
  <si>
    <t>BATTERY2_SN</t>
  </si>
  <si>
    <t>BATTERY3_SN</t>
  </si>
  <si>
    <t>PULSER_DRIVER_SN</t>
  </si>
  <si>
    <t>GAMMA_SN</t>
  </si>
  <si>
    <t>DIRECTIONAL_SN</t>
  </si>
  <si>
    <t>EM_SN</t>
  </si>
  <si>
    <t>LONG</t>
  </si>
  <si>
    <t>MOTOR</t>
  </si>
  <si>
    <t>RSS</t>
  </si>
  <si>
    <t>CATASTROPHIC_FAILURE</t>
  </si>
  <si>
    <t>BRT_HRS</t>
  </si>
  <si>
    <t>PHASES</t>
  </si>
  <si>
    <t>MOTOR_KICKPAD_OD</t>
  </si>
  <si>
    <t>MOTOR_SLEEVE_OD</t>
  </si>
  <si>
    <t>MOTOR_BEARING_TYPE</t>
  </si>
  <si>
    <t>REV_PER_GAL</t>
  </si>
  <si>
    <t>RSS_MAKE</t>
  </si>
  <si>
    <t>RSS_MODEL</t>
  </si>
  <si>
    <t>RSS_DESCRIPTION</t>
  </si>
  <si>
    <t>BIT_OD</t>
  </si>
  <si>
    <t>MAX_DLS</t>
  </si>
  <si>
    <t>REASON_POOH</t>
  </si>
  <si>
    <t>TUBE OD</t>
  </si>
  <si>
    <t>STATOR_FIT</t>
  </si>
  <si>
    <t>STATOR_VENDOR</t>
  </si>
  <si>
    <t>STATOR_TYPE</t>
  </si>
  <si>
    <t>RE_RUN</t>
  </si>
  <si>
    <t>DIRECT_BILL</t>
  </si>
  <si>
    <t>BHT_MIN</t>
  </si>
  <si>
    <t>BHT_AVG</t>
  </si>
  <si>
    <t>BHT_MAX</t>
  </si>
  <si>
    <t>TVD_START</t>
  </si>
  <si>
    <t>TVD_END</t>
  </si>
  <si>
    <t>DD_COORDINATOR</t>
  </si>
  <si>
    <t>MWD_COORDINATOR</t>
  </si>
  <si>
    <t>RSS_FAILED</t>
  </si>
  <si>
    <t>MWD_OOS</t>
  </si>
  <si>
    <t>MWD_COMMENTS</t>
  </si>
  <si>
    <t>IADC_FAILURE</t>
  </si>
  <si>
    <t>NON_IADC_FAILURE</t>
  </si>
  <si>
    <t>OOS_FAILURE</t>
  </si>
  <si>
    <t>BHA_COMP_FAILED</t>
  </si>
  <si>
    <t>Stabilizer</t>
  </si>
  <si>
    <t>Stabilizer 2</t>
  </si>
  <si>
    <t>Flex</t>
  </si>
  <si>
    <t>Incident</t>
  </si>
  <si>
    <t>MY</t>
  </si>
  <si>
    <t>Motor Length</t>
  </si>
  <si>
    <t>FBH</t>
  </si>
  <si>
    <t>Avg Slide Length</t>
  </si>
  <si>
    <t># Slides</t>
  </si>
  <si>
    <t>Avg Rotary DLS</t>
  </si>
  <si>
    <t>Avg Rotary BR</t>
  </si>
  <si>
    <t>Avg Rotary TR</t>
  </si>
  <si>
    <t>BHA ID</t>
  </si>
  <si>
    <t>CUR START DATE</t>
  </si>
  <si>
    <t>CUR END DATE</t>
  </si>
  <si>
    <t>CUR START MD</t>
  </si>
  <si>
    <t>CUR END MD</t>
  </si>
  <si>
    <t>CUR START INC</t>
  </si>
  <si>
    <t>CUR END INC</t>
  </si>
  <si>
    <t>TIME PER CUR RUN</t>
  </si>
  <si>
    <t>TOT TIME PER CUR</t>
  </si>
  <si>
    <t>RUNS PER CUR</t>
  </si>
  <si>
    <t>CUR MY</t>
  </si>
  <si>
    <t>Phase</t>
  </si>
  <si>
    <t>MAX INC</t>
  </si>
  <si>
    <t>MIN INC</t>
  </si>
  <si>
    <t>AVG INC</t>
  </si>
  <si>
    <t>SOURCE</t>
  </si>
  <si>
    <t>JOB_NUM</t>
  </si>
  <si>
    <t>AVG_ROP</t>
  </si>
  <si>
    <t>SLIDE_ROP</t>
  </si>
  <si>
    <t>BEND</t>
  </si>
  <si>
    <t>MIN_INC</t>
  </si>
  <si>
    <t>MAX_INC</t>
  </si>
  <si>
    <t>Motor_KPI</t>
  </si>
  <si>
    <t>TOTAL_DRILL</t>
  </si>
  <si>
    <t>ROTATE_DRILL</t>
  </si>
  <si>
    <t>ROTATE_HRS</t>
  </si>
  <si>
    <t>ROTATE_ROP</t>
  </si>
  <si>
    <t>DATE_IN</t>
  </si>
  <si>
    <t>DATE_OUT</t>
  </si>
  <si>
    <t>DEPTH_IN</t>
  </si>
  <si>
    <t>DEPTH_OUT</t>
  </si>
  <si>
    <t>GRADE_IN</t>
  </si>
  <si>
    <t>GRADE_OUT</t>
  </si>
  <si>
    <t>HOUSING_TYPE</t>
  </si>
  <si>
    <t>BIT_BEND</t>
  </si>
  <si>
    <t>LOBES</t>
  </si>
  <si>
    <t>STAGES</t>
  </si>
  <si>
    <t>PLANNED_DLS</t>
  </si>
  <si>
    <t>ACT_DLS</t>
  </si>
  <si>
    <t>MOTOR_YIELD</t>
  </si>
  <si>
    <t>TUBE_OD</t>
  </si>
  <si>
    <t>STB_1</t>
  </si>
  <si>
    <t>STB_2</t>
  </si>
  <si>
    <t>STB_STRING</t>
  </si>
  <si>
    <t>AVG_INC</t>
  </si>
  <si>
    <t>CUR_MY</t>
  </si>
  <si>
    <t>TIME_PER_CUR_RUN</t>
  </si>
  <si>
    <t>CUR_END_INC</t>
  </si>
  <si>
    <t>CUR_START_INC</t>
  </si>
  <si>
    <t>CUR_END_MD</t>
  </si>
  <si>
    <t>CUR_START_MD</t>
  </si>
  <si>
    <t>CUR_END_DATE</t>
  </si>
  <si>
    <t>CUR_START_DATE</t>
  </si>
  <si>
    <t>BHA_ID</t>
  </si>
  <si>
    <t>AVG_ROT_TR</t>
  </si>
  <si>
    <t>AVG_ROT_BR</t>
  </si>
  <si>
    <t>AVG_ROT_DLS</t>
  </si>
  <si>
    <t>NUM_OF_SLIDES</t>
  </si>
  <si>
    <t>AVG_SLIDE_LENGHT</t>
  </si>
  <si>
    <t>REPORTED_AS</t>
  </si>
  <si>
    <t>MOTOR_LENGHT</t>
  </si>
  <si>
    <t>INCIDENT_NUM</t>
  </si>
  <si>
    <t>FLEX</t>
  </si>
  <si>
    <t>CAM Run Tracker</t>
  </si>
  <si>
    <t>Customer</t>
  </si>
  <si>
    <t>Rig Name</t>
  </si>
  <si>
    <t>Job Number</t>
  </si>
  <si>
    <t>Formation</t>
  </si>
  <si>
    <t>Brt Date</t>
  </si>
  <si>
    <t>Art Date</t>
  </si>
  <si>
    <t>Footage Drilled</t>
  </si>
  <si>
    <t>Serial Number</t>
  </si>
  <si>
    <t>Latitude</t>
  </si>
  <si>
    <t>Longitude</t>
  </si>
  <si>
    <t>Reline Vendor</t>
  </si>
  <si>
    <t>Reline Product</t>
  </si>
  <si>
    <t>Hour In Hole</t>
  </si>
  <si>
    <t>Hour Circulating</t>
  </si>
  <si>
    <t>Hour Drilling</t>
  </si>
  <si>
    <t>Hour Used</t>
  </si>
  <si>
    <t>Mud Type</t>
  </si>
  <si>
    <t>Tube OD</t>
  </si>
  <si>
    <t>Inter Fit</t>
  </si>
  <si>
    <t>Fixed/adjustable</t>
  </si>
  <si>
    <t>Lobe</t>
  </si>
  <si>
    <t>Stage</t>
  </si>
  <si>
    <t>Stabilizer2</t>
  </si>
  <si>
    <t>Incident Num</t>
  </si>
  <si>
    <t>POG_CAM_Usage</t>
  </si>
  <si>
    <t>Fixed Bend Part Num</t>
  </si>
  <si>
    <t>POG_MM_Usage</t>
  </si>
  <si>
    <t>Total Hrs (C+D)</t>
  </si>
  <si>
    <t>BEND_HSG</t>
  </si>
  <si>
    <t>UPDATE</t>
  </si>
  <si>
    <t>BASIN</t>
  </si>
  <si>
    <t>HOLE_SIZE</t>
  </si>
  <si>
    <t>RUN_NUM</t>
  </si>
  <si>
    <t>Phase_CALC</t>
  </si>
  <si>
    <t>LOBE/STAGE</t>
  </si>
  <si>
    <t>DDS</t>
  </si>
  <si>
    <t>SDT</t>
  </si>
  <si>
    <t>MOTOR_TYPE2</t>
  </si>
  <si>
    <t>CAM Rental</t>
  </si>
  <si>
    <t>CAM DD or CAM Rental</t>
  </si>
  <si>
    <t>TDI Conv</t>
  </si>
  <si>
    <t>JOB_TYPE</t>
  </si>
  <si>
    <t>Directional</t>
  </si>
  <si>
    <t>Rental</t>
  </si>
  <si>
    <t>(per Job Type column)</t>
  </si>
  <si>
    <t>(per Serial number)</t>
  </si>
  <si>
    <t>Confirmed As</t>
  </si>
  <si>
    <t>FORM_FAM</t>
  </si>
  <si>
    <t>per basin list</t>
  </si>
  <si>
    <t>per form fam list</t>
  </si>
  <si>
    <t>Not Present in CAM Run Tracker</t>
  </si>
  <si>
    <t>Not Present in POG_CAM_Usage</t>
  </si>
  <si>
    <t xml:space="preserve">TODAYS DATE </t>
  </si>
  <si>
    <t>Not Present in POG_MM_Usage</t>
  </si>
  <si>
    <t>START_DATE</t>
  </si>
  <si>
    <t>END_DATE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</si>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</sst>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Segoe UI"/>
    </font>
    <font>
      <sz val="10"/>
      <color rgb="FF000000"/>
      <name val="Arial"/>
    </font>
    <font>
      <sz val="11"/>
      <color theme="0"/>
      <name val="Aptos Narrow"/>
      <family val="2"/>
      <scheme val="minor"/>
    </font>
    <font>
      <sz val="10"/>
      <color theme="0"/>
      <name val="Segoe UI"/>
    </font>
    <font>
      <sz val="10"/>
      <color theme="0"/>
      <name val="Arial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0" fillId="2" borderId="0" xfId="0" applyFill="1"/>
    <xf numFmtId="0" fontId="2" fillId="2" borderId="1" xfId="0" applyFont="1" applyFill="1" applyBorder="1" applyAlignment="1">
      <alignment vertical="top" wrapText="1" readingOrder="1"/>
    </xf>
    <xf numFmtId="0" fontId="3" fillId="0" borderId="0" xfId="0" applyFont="1"/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3" borderId="2" xfId="0" applyFont="1" applyFill="1" applyBorder="1" applyAlignment="1">
      <alignment vertical="top" wrapText="1" readingOrder="1"/>
    </xf>
    <xf numFmtId="0" fontId="7" fillId="3" borderId="2" xfId="0" applyFont="1" applyFill="1" applyBorder="1" applyAlignment="1">
      <alignment vertical="top" wrapText="1" readingOrder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A9F6C-7328-4C70-8919-70D1CAD58A6A}" name="Table1" displayName="Table1" ref="A1:FO5" totalsRowShown="0" headerRowDxfId="3">
  <autoFilter ref="A1:FO5" xr:uid="{FB2A9F6C-7328-4C70-8919-70D1CAD58A6A}"/>
  <tableColumns count="171">
    <tableColumn id="1" xr3:uid="{E53F17B1-BA95-42DE-A5D0-C27D108DACC9}" name="SOURCE"/>
    <tableColumn id="2" xr3:uid="{80FD1331-6A63-4DBA-BFF6-047668E76F5F}" name="OPERATOR"/>
    <tableColumn id="3" xr3:uid="{BC8B9644-CE19-4B34-96B6-D7075947FD4B}" name="RIG"/>
    <tableColumn id="4" xr3:uid="{F6705EF9-9807-4C5C-ACC5-223783BE8490}" name="JOB_NUM"/>
    <tableColumn id="5" xr3:uid="{3B0E6DE4-0A5F-4E9D-A74F-2A7ECA4FA772}" name="WELL"/>
    <tableColumn id="6" xr3:uid="{D822FF9A-4DA6-4569-933E-92983C638A4D}" name="COUNTY"/>
    <tableColumn id="7" xr3:uid="{8E3CBA74-4462-4CA7-BF48-3168F1EC6B3C}" name="STATE"/>
    <tableColumn id="8" xr3:uid="{F7750328-9FBB-4D2C-B727-98530155E15D}" name="BHA"/>
    <tableColumn id="9" xr3:uid="{8391E76A-682F-4099-8B5F-3DE4FCBA4B58}" name="BHA_DESC"/>
    <tableColumn id="10" xr3:uid="{3B579151-C53C-4476-9D1C-F64A68B7AC25}" name="FORMATION"/>
    <tableColumn id="11" xr3:uid="{A62E070E-90B8-4798-AB4D-60F4D4785AA7}" name="DATE_IN"/>
    <tableColumn id="12" xr3:uid="{9E3DF0F0-5EFC-4D84-B421-21511A40BA8B}" name="DATE_OUT"/>
    <tableColumn id="13" xr3:uid="{32F2F3FE-A645-4FC4-8719-6A7746B14008}" name="DEPTH_IN"/>
    <tableColumn id="14" xr3:uid="{B0920A92-237D-41AA-A823-DE96F0CF0204}" name="DEPTH_OUT"/>
    <tableColumn id="15" xr3:uid="{53DAD58A-AEC3-4FE8-B312-2E375239EE92}" name="TOTAL_DRILL"/>
    <tableColumn id="16" xr3:uid="{C923FCB3-4241-4432-B637-E54519E6B93E}" name="ROTATE_DRILL"/>
    <tableColumn id="17" xr3:uid="{54EFB60B-C2B5-453B-AA2B-357E93F303B8}" name="ROTATE_HRS"/>
    <tableColumn id="18" xr3:uid="{298A0BC6-1F9A-4D5E-8389-7B63851C5D27}" name="ROTATE_ROP"/>
    <tableColumn id="19" xr3:uid="{9F298F9B-A035-4C64-B411-2888EBD95CF3}" name="SLIDE_ROP"/>
    <tableColumn id="20" xr3:uid="{146D1245-76CC-41DF-89E9-80FC0B7D98E7}" name="AVG_ROP"/>
    <tableColumn id="21" xr3:uid="{0677A1C6-A418-4B5B-8677-D4B4B290060F}" name="LEAD_DD"/>
    <tableColumn id="22" xr3:uid="{A5C4918D-70CC-49A4-B86A-D56DF48482A8}" name="CO_MAN"/>
    <tableColumn id="23" xr3:uid="{45D6D665-6E2B-4F56-BEDB-713D6BAEC9AA}" name="TIME_IN"/>
    <tableColumn id="24" xr3:uid="{99E34917-86B8-4877-B351-297DDA213982}" name="TIME_OUT"/>
    <tableColumn id="25" xr3:uid="{3F75EB2F-EE2F-4801-8525-90305593660C}" name="CIRC_HOURS"/>
    <tableColumn id="26" xr3:uid="{13DF527E-FD7D-4210-B2EF-43D2891724AD}" name="DRILLING_HOURS"/>
    <tableColumn id="27" xr3:uid="{B1320305-4C15-4870-83D5-8180AE6318BC}" name="SLIDE_DRILLED"/>
    <tableColumn id="28" xr3:uid="{79555E1B-B3A9-4C2C-88B7-5C4393435E41}" name="SLIDE_HOURS"/>
    <tableColumn id="29" xr3:uid="{3FBCFEEB-5D82-447B-81D9-71D4AA3A6901}" name="BIT_MAKE"/>
    <tableColumn id="30" xr3:uid="{6D709442-9A96-42BD-970A-E9DA35EEF1B8}" name="BIT_MODEL"/>
    <tableColumn id="31" xr3:uid="{C33F01CC-B658-4243-8F6C-208899BB07F6}" name="BIT_NUM"/>
    <tableColumn id="32" xr3:uid="{D1754783-7177-4FEA-B533-FA1717C469AB}" name="TFA"/>
    <tableColumn id="33" xr3:uid="{FACC19F0-2143-4468-B4F9-84B543CB1D0B}" name="GRADE_IN"/>
    <tableColumn id="34" xr3:uid="{C59A9F7D-B06E-4896-8AF5-2D10BAC86372}" name="GRADE_OUT"/>
    <tableColumn id="35" xr3:uid="{05872D8F-007F-482C-BEA8-2D99DEF16473}" name="MUD_WEIGHT"/>
    <tableColumn id="36" xr3:uid="{CFF7E2C6-2D38-4943-9B37-FDEAD77343B7}" name="FLUID_TYPE"/>
    <tableColumn id="37" xr3:uid="{82309BF6-E46E-478E-ABE3-5786912AA9DD}" name="SOLIDS"/>
    <tableColumn id="38" xr3:uid="{22ED79EA-C3DA-4680-81C3-CABA861F532D}" name="PV"/>
    <tableColumn id="39" xr3:uid="{5C281CA0-0B05-4649-A8D0-E0CC980270BD}" name="YP"/>
    <tableColumn id="40" xr3:uid="{219D2E82-B6BB-4120-9830-78CABA2CEA00}" name="CHLORIDES"/>
    <tableColumn id="41" xr3:uid="{3DCF8138-4940-48EE-85EC-B33B85B9AB5B}" name="BHT"/>
    <tableColumn id="42" xr3:uid="{A2A8DEBB-464E-423D-AAD7-03C5F696557D}" name="MOTOR_OD"/>
    <tableColumn id="43" xr3:uid="{7CC03E3C-99DC-4E70-8189-300115B8F810}" name="MOTOR_DESCRIPTION"/>
    <tableColumn id="44" xr3:uid="{53257FE3-3F26-4BD5-9B3F-17881D4BD71F}" name="SN"/>
    <tableColumn id="45" xr3:uid="{18AB5252-7D51-4785-A698-374CB6B4C237}" name="MOTOR_MODEL"/>
    <tableColumn id="46" xr3:uid="{0923ED1E-C030-48F5-A3FF-634F5D1F3DD4}" name="MOTOR_MAKE"/>
    <tableColumn id="47" xr3:uid="{0834143C-33A2-40D0-B004-EE23057C7FF9}" name="BEND"/>
    <tableColumn id="48" xr3:uid="{515E6124-67FB-44CC-BDB6-6F6D96FD1E34}" name="HOUSING_TYPE"/>
    <tableColumn id="49" xr3:uid="{C05B72AD-C9CA-4D8F-BB3A-4F92E70AB7B1}" name="BIT_BEND"/>
    <tableColumn id="50" xr3:uid="{0593E9BB-5105-432E-91CA-286C025A752A}" name="LOBES"/>
    <tableColumn id="51" xr3:uid="{6E94F8C8-4F52-4E3F-A161-D97288A8E01D}" name="STAGES"/>
    <tableColumn id="52" xr3:uid="{392402F5-9EF4-4EF1-8E44-30289B228D99}" name="PLANNED_DLS"/>
    <tableColumn id="53" xr3:uid="{1EDAD118-6411-48B2-BCB0-1A93D0C0FB87}" name="ACT_DLS"/>
    <tableColumn id="54" xr3:uid="{291EB2FE-8A01-4AD6-B072-9FD48D2A74D2}" name="MOTOR_YIELD"/>
    <tableColumn id="55" xr3:uid="{11023687-671D-4046-ADB6-B90688D9A4A0}" name="ON_BTM_PRESS"/>
    <tableColumn id="56" xr3:uid="{82EC068C-630D-4E1B-B047-72E957FA0127}" name="RPM"/>
    <tableColumn id="57" xr3:uid="{9D90DA1A-DDF5-4FE0-A7EE-5BC50B35BF7C}" name="DIFF_PRESS"/>
    <tableColumn id="58" xr3:uid="{7C8ED5BC-1D60-488C-B914-E48A7BB72F51}" name="MAX_DIFFP"/>
    <tableColumn id="59" xr3:uid="{4880E78A-6E92-4622-B7F2-6A89F85AD59A}" name="ON_BTM_TQ"/>
    <tableColumn id="60" xr3:uid="{C6C38564-31C9-47D4-A152-515FA3057A11}" name="MAX_TORQUE"/>
    <tableColumn id="61" xr3:uid="{D7110088-C032-49B7-8DB0-DC454F5CC8AF}" name="FLOW_RATE"/>
    <tableColumn id="62" xr3:uid="{5AD87FA6-F87E-420D-BED9-9F8E6641F107}" name="MAX_FLOW"/>
    <tableColumn id="63" xr3:uid="{7979A8F2-DEF8-44AE-99B9-728565784F08}" name="WOB"/>
    <tableColumn id="64" xr3:uid="{34F7D7D2-466D-42D6-BE8F-562B1F889830}" name="COMMENTS"/>
    <tableColumn id="65" xr3:uid="{545DC013-5C21-4D9A-80B4-674FB73EF845}" name="ADDITIONAL_COMMENTS"/>
    <tableColumn id="66" xr3:uid="{27149408-303F-4659-8D24-9AE96564D1E9}" name="UNPLANNED_TRIP"/>
    <tableColumn id="67" xr3:uid="{64006755-E442-4A66-8134-26CFD7A8A9B4}" name="MOTOR_FAILURE"/>
    <tableColumn id="68" xr3:uid="{822D37FD-31EE-498D-AB40-7148137E09A2}" name="MWD_FAILURE"/>
    <tableColumn id="69" xr3:uid="{7F76B73C-2CD6-4E36-9186-194BC4BDEEB6}" name="LIH"/>
    <tableColumn id="70" xr3:uid="{AD52A8F2-5996-4FA8-A9F2-0DE47B3EB41D}" name="TRIP_FOR_FAILURE"/>
    <tableColumn id="71" xr3:uid="{09F9FC87-59CD-45CE-81EC-C8607CAFD3BA}" name="NPT"/>
    <tableColumn id="72" xr3:uid="{58C9853A-EBFB-4949-8A50-19E01DE0F00C}" name="HRS_TO_FAIL"/>
    <tableColumn id="73" xr3:uid="{EF90002D-5072-4ABB-BD92-1148B0B9DB7A}" name="NUM_STALLS"/>
    <tableColumn id="74" xr3:uid="{6F896237-61E4-4ECB-850A-FE7CAF6FDBC8}" name="WASH_REAM_TIME"/>
    <tableColumn id="75" xr3:uid="{D67C4FAE-0D57-4381-B38A-9A5AD7C0FC9C}" name="DRY_REAM_TIME"/>
    <tableColumn id="76" xr3:uid="{A22467C1-25FF-4C27-A8BF-15E5F1904700}" name="PU"/>
    <tableColumn id="77" xr3:uid="{547924CD-723C-418D-B8CF-8218CA773A18}" name="ROT"/>
    <tableColumn id="78" xr3:uid="{FB96088C-D14E-4895-96C1-8E9DACE1DFE9}" name="SO"/>
    <tableColumn id="79" xr3:uid="{43E720CF-750E-4C69-B9FA-B9F1365CA28B}" name="SURFACEFINDINGS"/>
    <tableColumn id="80" xr3:uid="{522E6007-B629-4872-B2DC-D08B877D005F}" name="SHOPFINDINGS"/>
    <tableColumn id="81" xr3:uid="{EF4BDF28-4576-4A8C-B823-70AAE0031A7A}" name="TROUBLESHOOTING"/>
    <tableColumn id="82" xr3:uid="{DE23EB3F-1CF9-4724-A788-F7AE5161E8BB}" name="EVALUATION"/>
    <tableColumn id="83" xr3:uid="{ED4FFE37-55B3-4223-B981-4D973FA97B9E}" name="PULSERTYPE"/>
    <tableColumn id="84" xr3:uid="{6383FF53-9C73-44ED-A83B-74372F90B642}" name="PULSER_SN"/>
    <tableColumn id="85" xr3:uid="{C86A6211-3E0D-430F-AF4C-C2FB4C3F3103}" name="MWDTYPE"/>
    <tableColumn id="86" xr3:uid="{2403164B-2859-43C3-8FEE-436F11D78E27}" name="BATTERY1_SN"/>
    <tableColumn id="87" xr3:uid="{0A915B26-1F5B-41F8-A072-A7CDBAFB2AA9}" name="BATTERY2_SN"/>
    <tableColumn id="88" xr3:uid="{167982E5-A7D4-4B52-B9D9-3D598E85FDF7}" name="BATTERY3_SN"/>
    <tableColumn id="89" xr3:uid="{0077EB4D-AA7D-4B4F-A5FF-528AF6E55EA9}" name="PULSER_DRIVER_SN"/>
    <tableColumn id="90" xr3:uid="{48ACEB7F-1E41-42E5-934A-66C75753DDD5}" name="GAMMA_SN"/>
    <tableColumn id="91" xr3:uid="{33C9791F-E80E-4231-9207-CA38FD2D271F}" name="DIRECTIONAL_SN"/>
    <tableColumn id="92" xr3:uid="{B32B0E46-E768-45A4-83BC-7E9118283C75}" name="EM_SN"/>
    <tableColumn id="93" xr3:uid="{6A2F6B1F-72E4-4E2F-AF98-82F27F439DCE}" name="LAT"/>
    <tableColumn id="94" xr3:uid="{82EB6108-83CB-4579-81A1-0E4301BF17DF}" name="LON"/>
    <tableColumn id="95" xr3:uid="{7E892E4C-CE0E-4D96-B188-542F9ED3BD17}" name="MOTOR"/>
    <tableColumn id="96" xr3:uid="{FFFAEB95-5605-4B4C-B428-553E6A0802A3}" name="RSS"/>
    <tableColumn id="97" xr3:uid="{96925134-3D60-4553-93A2-416D32C535DB}" name="CATASTROPHIC_FAILURE"/>
    <tableColumn id="98" xr3:uid="{79E26957-E38F-4B16-9F66-C367E7737D71}" name="BRT_HRS"/>
    <tableColumn id="99" xr3:uid="{04AA38C6-A71B-4B17-AF4C-4F0AC76DD018}" name="PHASES"/>
    <tableColumn id="100" xr3:uid="{4FEED5D7-9EE9-4316-A37A-D7E9A35A8924}" name="MOTOR_KICKPAD_OD"/>
    <tableColumn id="101" xr3:uid="{0F65C29C-A737-4B93-92F6-E4226FE56AB9}" name="MOTOR_SLEEVE_OD"/>
    <tableColumn id="102" xr3:uid="{1434FEDD-427C-47B8-8184-83C35C41ECED}" name="MOTOR_BEARING_TYPE"/>
    <tableColumn id="103" xr3:uid="{1EA6DB0B-77FC-436F-8C65-486A457A1C96}" name="REV_PER_GAL"/>
    <tableColumn id="104" xr3:uid="{0439FBD1-1A2C-46B9-ACCE-42B45DDEB5AE}" name="RSS_MAKE"/>
    <tableColumn id="105" xr3:uid="{32BE6397-E4E7-4CEB-A8DF-96F2F10A73B6}" name="RSS_MODEL"/>
    <tableColumn id="106" xr3:uid="{39AB8F4A-321C-4A9F-874A-63CD5B592169}" name="RSS_DESCRIPTION"/>
    <tableColumn id="107" xr3:uid="{99EF03FA-BBE7-4E27-AA23-75F5C272C1E5}" name="HOLE_SIZE"/>
    <tableColumn id="108" xr3:uid="{73AE7731-6B34-4E10-8B92-A8C9428B6E67}" name="MAX_DLS"/>
    <tableColumn id="109" xr3:uid="{B2A16DDC-C644-442C-B0E8-1C2143549FF5}" name="REASON_POOH"/>
    <tableColumn id="110" xr3:uid="{CAB0DE35-A436-4B24-873D-DE1CB16BABC1}" name="TUBE_OD"/>
    <tableColumn id="111" xr3:uid="{9BE9D37B-81CC-49E6-93D4-23469ABFA920}" name="STATOR_FIT"/>
    <tableColumn id="112" xr3:uid="{C5D5CBB4-AFEA-42C1-AC28-0B0214810A2C}" name="STATOR_VENDOR"/>
    <tableColumn id="113" xr3:uid="{F5749EF2-0E75-4F3A-9985-07D3B8F778DD}" name="STATOR_TYPE"/>
    <tableColumn id="114" xr3:uid="{C62023A4-2CF2-463B-BC2A-3526A46893FA}" name="RE_RUN"/>
    <tableColumn id="115" xr3:uid="{E5F64475-8EC7-4D9C-B0CD-16C3A2D77519}" name="DIRECT_BILL"/>
    <tableColumn id="116" xr3:uid="{B59611F3-E83F-4962-AB35-070AE114EDAF}" name="BHT_MIN"/>
    <tableColumn id="117" xr3:uid="{422D0709-D516-4DF3-9269-9029685F2B03}" name="BHT_AVG"/>
    <tableColumn id="118" xr3:uid="{F17BC8BC-0B3B-4F88-95B2-4A1FE404ECDA}" name="BHT_MAX"/>
    <tableColumn id="119" xr3:uid="{3596E205-EE34-408C-8B6E-C32D37BD72CC}" name="TVD_START"/>
    <tableColumn id="120" xr3:uid="{B96E2FD6-60B5-4300-8BC7-7F307B96737A}" name="TVD_END"/>
    <tableColumn id="121" xr3:uid="{C404B5F5-DA89-4B78-A424-A7D6DCB66B55}" name="DD_COORDINATOR"/>
    <tableColumn id="122" xr3:uid="{D28FAA46-1C54-4B6B-8C4C-11708AEF394C}" name="MWD_COORDINATOR"/>
    <tableColumn id="123" xr3:uid="{FF7C474F-405D-4EAF-8548-261682569AD8}" name="RSS_FAILED"/>
    <tableColumn id="124" xr3:uid="{70B770A5-BBF2-4FFA-A201-589E9A18FC03}" name="MWD_OOS"/>
    <tableColumn id="125" xr3:uid="{FBEDC959-0E54-44E0-AF85-12D78D4BB908}" name="MWD_COMMENTS"/>
    <tableColumn id="126" xr3:uid="{4EEBEDA6-9C8D-43EF-944F-5B2B311D3D2E}" name="IADC_FAILURE"/>
    <tableColumn id="127" xr3:uid="{73FD4224-AA63-4890-8229-4065D22CF436}" name="NON_IADC_FAILURE"/>
    <tableColumn id="128" xr3:uid="{7B487C4A-02CE-45E2-B8CE-FDCD16F51358}" name="OOS_FAILURE"/>
    <tableColumn id="129" xr3:uid="{9E657451-E96C-42F6-80F8-BF0E39D24B4C}" name="BHA_COMP_FAILED"/>
    <tableColumn id="130" xr3:uid="{C194D676-1705-41E5-9A32-E9781D420619}" name="STB_1"/>
    <tableColumn id="131" xr3:uid="{62C62AD2-E029-45B6-A9FA-278F4A383C3F}" name="STB_2"/>
    <tableColumn id="132" xr3:uid="{69E49710-4812-4AF5-80D8-2807424D7571}" name="STB_STRING"/>
    <tableColumn id="133" xr3:uid="{AEBCA7CE-5EFD-4429-B924-0C9A26797449}" name="FLEX"/>
    <tableColumn id="134" xr3:uid="{F4266BF8-CC6D-457E-8065-A91F137019BF}" name="INCIDENT_NUM"/>
    <tableColumn id="135" xr3:uid="{62CAF2A0-A25B-47DF-B1BA-1F862BBDC71E}" name="MY"/>
    <tableColumn id="136" xr3:uid="{A3A23E4C-6A2E-4E78-855F-C216E14B83A9}" name="MOTOR_LENGHT"/>
    <tableColumn id="137" xr3:uid="{AFC98621-153D-4FBF-89C5-F9C62E500B39}" name="REPORTED_AS"/>
    <tableColumn id="138" xr3:uid="{2A86660F-63C2-45B0-A471-3F4586B2D6C1}" name="FBH"/>
    <tableColumn id="139" xr3:uid="{E6655812-D10D-4505-A2A9-A62C630FC763}" name="AVG_SLIDE_LENGHT"/>
    <tableColumn id="140" xr3:uid="{672183A7-D9F3-4466-8497-1188CC338BCA}" name="NUM_OF_SLIDES"/>
    <tableColumn id="141" xr3:uid="{33A5F543-17D4-468F-BEFC-4BBFE8EF9642}" name="AVG_ROT_DLS"/>
    <tableColumn id="142" xr3:uid="{A382BD62-B619-4C1B-B644-B705B873052A}" name="AVG_ROT_BR"/>
    <tableColumn id="143" xr3:uid="{7A13AF35-2F30-4075-934F-760CA1F5486F}" name="AVG_ROT_TR"/>
    <tableColumn id="144" xr3:uid="{D87FD69E-B0AA-4B25-93BA-BFF82E0CEC5F}" name="BHA_ID"/>
    <tableColumn id="145" xr3:uid="{EFC71321-4E06-4B11-A6A3-F4EDF45681AE}" name="CUR_START_DATE"/>
    <tableColumn id="146" xr3:uid="{AC219BCA-519C-4866-A256-BA64D3538742}" name="CUR_END_DATE"/>
    <tableColumn id="147" xr3:uid="{F00B0BF8-CA36-4A2A-85CF-9A1088D56F46}" name="CUR_START_MD"/>
    <tableColumn id="148" xr3:uid="{09B24123-CC15-4A1C-B037-0DF43660F60D}" name="CUR_END_MD"/>
    <tableColumn id="149" xr3:uid="{1E8EED76-CFA4-486D-843A-741BB0C10FCA}" name="CUR_START_INC"/>
    <tableColumn id="150" xr3:uid="{EE4B20D1-9E96-4F34-9E66-5C202E27EA22}" name="CUR_END_INC"/>
    <tableColumn id="151" xr3:uid="{272CC7CD-72AD-43A9-AE99-1D2CFDA2849E}" name="TIME_PER_CUR_RUN"/>
    <tableColumn id="152" xr3:uid="{ABC54911-A309-4A11-B43B-7759F5F405E9}" name="TOT TIME PER CUR"/>
    <tableColumn id="153" xr3:uid="{86F20CDF-6901-4982-9D65-7A3CB2B1095E}" name="RUNS PER CUR"/>
    <tableColumn id="154" xr3:uid="{0B07619B-EBB8-4A55-B9C0-A96749A00663}" name="CUR_MY"/>
    <tableColumn id="155" xr3:uid="{C80BFB9E-D76E-4582-B076-7291759F0DC6}" name="Phase_CALC"/>
    <tableColumn id="156" xr3:uid="{D154A99C-9881-4616-99A2-9D5F6A9943A3}" name="MAX_INC"/>
    <tableColumn id="157" xr3:uid="{8F6B3080-A3CD-4752-B0AC-D82C4710202E}" name="MIN_INC"/>
    <tableColumn id="158" xr3:uid="{C928099C-021C-480F-A5B2-C1BD28C0507C}" name="AVG_INC"/>
    <tableColumn id="159" xr3:uid="{A0B11EE7-92E9-49F6-9067-C20F43F2BFC9}" name="Total Hrs (C+D)"/>
    <tableColumn id="160" xr3:uid="{0B399C21-B062-478E-971F-E2228AB1E2C4}" name="START_DATE" dataDxfId="2">
      <calculatedColumnFormula>Table1[[#This Row],[DATE_IN]]</calculatedColumnFormula>
    </tableColumn>
    <tableColumn id="161" xr3:uid="{C17F0909-9C1E-4309-9351-B4531435C7CF}" name="END_DATE">
      <calculatedColumnFormula>Table1[[#This Row],[DATE_OUT]]</calculatedColumnFormula>
    </tableColumn>
    <tableColumn id="162" xr3:uid="{6EFC6C7A-A41F-47EF-B980-E9795E7D2FFB}" name="BEND_HSG" dataDxfId="1">
      <calculatedColumnFormula>Table1[[#This Row],[BEND]]</calculatedColumnFormula>
    </tableColumn>
    <tableColumn id="163" xr3:uid="{96F09AE5-5D5E-48DF-B6BC-653C49916D71}" name="UPDATE"/>
    <tableColumn id="164" xr3:uid="{7BAD0468-1198-40A7-8D6B-7302809FD28C}" name="BASIN"/>
    <tableColumn id="165" xr3:uid="{406F219C-99F8-47DF-8DB2-52CA43EDA867}" name="RUN_NUM"/>
    <tableColumn id="166" xr3:uid="{A7763629-96C6-46B4-80D1-84AFE6E50969}" name="LOBE/STAGE" dataDxfId="0">
      <calculatedColumnFormula>Table1[[#This Row],[LOBES]]</calculatedColumnFormula>
    </tableColumn>
    <tableColumn id="167" xr3:uid="{5A0E245A-028C-4960-ABF9-67B5B9B61AB4}" name="DDS"/>
    <tableColumn id="168" xr3:uid="{35751A82-A68C-4B3C-82C9-F80F625543BB}" name="MOTOR_TYPE2"/>
    <tableColumn id="169" xr3:uid="{B41A182F-1EC5-4263-BAD9-ADB2B54CEEDD}" name="JOB_TYPE"/>
    <tableColumn id="170" xr3:uid="{F4C9953D-5BF0-4029-A698-B741207D4774}" name="FORM_FAM"/>
    <tableColumn id="171" xr3:uid="{90DDA449-2D2B-49B4-97EB-ACE4FFAC48F3}" name="Confirmed 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4DEA-85B2-4AE8-BE90-FE230E756C28}">
  <dimension ref="A1:FO100"/>
  <sheetViews>
    <sheetView tabSelected="1" zoomScale="70" zoomScaleNormal="70" workbookViewId="0">
      <pane xSplit="1" ySplit="2" topLeftCell="EB3" activePane="bottomRight" state="frozen"/>
      <selection pane="topRight" activeCell="D1" sqref="D1"/>
      <selection pane="bottomLeft" activeCell="A3" sqref="A3"/>
      <selection pane="bottomRight" activeCell="FO1" sqref="EX1:FO1048576"/>
    </sheetView>
  </sheetViews>
  <sheetFormatPr defaultRowHeight="15" x14ac:dyDescent="0.25"/>
  <cols>
    <col min="1" max="1" width="18.85546875" bestFit="1" customWidth="1"/>
    <col min="2" max="2" width="16.140625" customWidth="1"/>
    <col min="3" max="3" width="10.28515625" bestFit="1" customWidth="1"/>
    <col min="4" max="4" width="14.28515625" customWidth="1"/>
    <col min="5" max="5" width="11.140625" bestFit="1" customWidth="1"/>
    <col min="6" max="6" width="12.7109375" customWidth="1"/>
    <col min="7" max="7" width="10.85546875" customWidth="1"/>
    <col min="8" max="8" width="18.28515625" customWidth="1"/>
    <col min="9" max="9" width="15.7109375" customWidth="1"/>
    <col min="10" max="10" width="17.42578125" bestFit="1" customWidth="1"/>
    <col min="11" max="11" width="13" customWidth="1"/>
    <col min="12" max="12" width="15.28515625" customWidth="1"/>
    <col min="13" max="13" width="14.7109375" customWidth="1"/>
    <col min="14" max="14" width="17" customWidth="1"/>
    <col min="15" max="15" width="18.42578125" customWidth="1"/>
    <col min="16" max="16" width="20.140625" customWidth="1"/>
    <col min="17" max="17" width="18.5703125" customWidth="1"/>
    <col min="18" max="18" width="18.7109375" customWidth="1"/>
    <col min="19" max="19" width="15.85546875" customWidth="1"/>
    <col min="20" max="20" width="14.28515625" customWidth="1"/>
    <col min="21" max="21" width="13.85546875" customWidth="1"/>
    <col min="22" max="22" width="13.28515625" customWidth="1"/>
    <col min="23" max="23" width="12.42578125" bestFit="1" customWidth="1"/>
    <col min="24" max="24" width="14.7109375" customWidth="1"/>
    <col min="25" max="25" width="18" customWidth="1"/>
    <col min="26" max="26" width="22.7109375" customWidth="1"/>
    <col min="27" max="27" width="20.42578125" customWidth="1"/>
    <col min="28" max="28" width="18.7109375" customWidth="1"/>
    <col min="29" max="29" width="14.85546875" customWidth="1"/>
    <col min="30" max="30" width="16.28515625" customWidth="1"/>
    <col min="31" max="31" width="13.42578125" customWidth="1"/>
    <col min="32" max="32" width="8" customWidth="1"/>
    <col min="33" max="33" width="14.85546875" customWidth="1"/>
    <col min="34" max="34" width="17.140625" customWidth="1"/>
    <col min="35" max="35" width="18.42578125" customWidth="1"/>
    <col min="36" max="36" width="17" customWidth="1"/>
    <col min="37" max="37" width="11.42578125" customWidth="1"/>
    <col min="38" max="39" width="6.5703125" customWidth="1"/>
    <col min="40" max="40" width="16.28515625" customWidth="1"/>
    <col min="41" max="41" width="11" bestFit="1" customWidth="1"/>
    <col min="42" max="42" width="16.28515625" customWidth="1"/>
    <col min="43" max="43" width="28.42578125" customWidth="1"/>
    <col min="44" max="44" width="8.28515625" bestFit="1" customWidth="1"/>
    <col min="45" max="45" width="21" customWidth="1"/>
    <col min="46" max="46" width="19.5703125" customWidth="1"/>
    <col min="47" max="47" width="17.140625" bestFit="1" customWidth="1"/>
    <col min="48" max="48" width="20.5703125" customWidth="1"/>
    <col min="49" max="49" width="14.7109375" customWidth="1"/>
    <col min="50" max="50" width="14.5703125" bestFit="1" customWidth="1"/>
    <col min="51" max="51" width="17.7109375" bestFit="1" customWidth="1"/>
    <col min="52" max="52" width="19.85546875" customWidth="1"/>
    <col min="53" max="53" width="13.7109375" customWidth="1"/>
    <col min="54" max="54" width="19.42578125" customWidth="1"/>
    <col min="55" max="55" width="21.85546875" customWidth="1"/>
    <col min="56" max="56" width="10.7109375" bestFit="1" customWidth="1"/>
    <col min="57" max="57" width="17.28515625" customWidth="1"/>
    <col min="58" max="58" width="16.5703125" customWidth="1"/>
    <col min="59" max="59" width="17.28515625" customWidth="1"/>
    <col min="60" max="60" width="19" customWidth="1"/>
    <col min="61" max="61" width="17" customWidth="1"/>
    <col min="62" max="62" width="15.85546875" customWidth="1"/>
    <col min="63" max="63" width="8.5703125" customWidth="1"/>
    <col min="64" max="64" width="16.7109375" customWidth="1"/>
    <col min="65" max="65" width="31.5703125" customWidth="1"/>
    <col min="66" max="66" width="23.85546875" customWidth="1"/>
    <col min="67" max="67" width="22.42578125" customWidth="1"/>
    <col min="68" max="68" width="19.5703125" customWidth="1"/>
    <col min="69" max="69" width="7" customWidth="1"/>
    <col min="70" max="70" width="25.28515625" customWidth="1"/>
    <col min="71" max="71" width="8.140625" customWidth="1"/>
    <col min="72" max="72" width="18.5703125" customWidth="1"/>
    <col min="73" max="73" width="18.140625" customWidth="1"/>
    <col min="74" max="74" width="24.7109375" customWidth="1"/>
    <col min="75" max="75" width="22.85546875" customWidth="1"/>
    <col min="76" max="76" width="6.5703125" customWidth="1"/>
    <col min="77" max="77" width="8.140625" customWidth="1"/>
    <col min="78" max="78" width="6.5703125" customWidth="1"/>
    <col min="79" max="79" width="24.7109375" customWidth="1"/>
    <col min="80" max="80" width="20.42578125" customWidth="1"/>
    <col min="81" max="81" width="25.5703125" customWidth="1"/>
    <col min="82" max="82" width="17.5703125" customWidth="1"/>
    <col min="83" max="83" width="18.140625" customWidth="1"/>
    <col min="84" max="84" width="16.5703125" customWidth="1"/>
    <col min="85" max="85" width="14.85546875" customWidth="1"/>
    <col min="86" max="86" width="19.140625" customWidth="1"/>
    <col min="87" max="88" width="19.5703125" customWidth="1"/>
    <col min="89" max="89" width="26.140625" customWidth="1"/>
    <col min="90" max="90" width="16.7109375" customWidth="1"/>
    <col min="91" max="91" width="22.85546875" customWidth="1"/>
    <col min="92" max="92" width="11.28515625" customWidth="1"/>
    <col min="93" max="93" width="7.7109375" customWidth="1"/>
    <col min="94" max="94" width="8" customWidth="1"/>
    <col min="95" max="95" width="11.85546875" customWidth="1"/>
    <col min="96" max="96" width="8" customWidth="1"/>
    <col min="97" max="97" width="32" customWidth="1"/>
    <col min="98" max="98" width="14.140625" customWidth="1"/>
    <col min="99" max="99" width="12.7109375" customWidth="1"/>
    <col min="100" max="100" width="27.5703125" customWidth="1"/>
    <col min="101" max="101" width="25.85546875" customWidth="1"/>
    <col min="102" max="102" width="30.42578125" customWidth="1"/>
    <col min="103" max="103" width="19.5703125" customWidth="1"/>
    <col min="104" max="104" width="15.7109375" customWidth="1"/>
    <col min="105" max="105" width="17.140625" customWidth="1"/>
    <col min="106" max="106" width="24.42578125" customWidth="1"/>
    <col min="107" max="107" width="11.5703125" customWidth="1"/>
    <col min="108" max="108" width="14.140625" customWidth="1"/>
    <col min="109" max="109" width="20.5703125" customWidth="1"/>
    <col min="110" max="110" width="13.85546875" customWidth="1"/>
    <col min="111" max="111" width="17.28515625" customWidth="1"/>
    <col min="112" max="112" width="23.28515625" customWidth="1"/>
    <col min="113" max="113" width="19.85546875" customWidth="1"/>
    <col min="114" max="114" width="12.42578125" customWidth="1"/>
    <col min="115" max="115" width="17.7109375" customWidth="1"/>
    <col min="116" max="116" width="13.7109375" customWidth="1"/>
    <col min="117" max="117" width="14.140625" customWidth="1"/>
    <col min="118" max="118" width="14.42578125" customWidth="1"/>
    <col min="119" max="119" width="16.7109375" customWidth="1"/>
    <col min="120" max="120" width="13.85546875" customWidth="1"/>
    <col min="121" max="121" width="24.7109375" customWidth="1"/>
    <col min="122" max="122" width="27" customWidth="1"/>
    <col min="123" max="123" width="17.140625" customWidth="1"/>
    <col min="124" max="124" width="14.85546875" customWidth="1"/>
    <col min="125" max="125" width="23.42578125" customWidth="1"/>
    <col min="126" max="126" width="19.5703125" customWidth="1"/>
    <col min="127" max="127" width="25.7109375" customWidth="1"/>
    <col min="128" max="128" width="18.7109375" customWidth="1"/>
    <col min="129" max="129" width="25.7109375" customWidth="1"/>
    <col min="130" max="130" width="13.140625" bestFit="1" customWidth="1"/>
    <col min="131" max="131" width="13.5703125" bestFit="1" customWidth="1"/>
    <col min="132" max="132" width="17.5703125" customWidth="1"/>
    <col min="133" max="133" width="9" customWidth="1"/>
    <col min="134" max="134" width="20.42578125" customWidth="1"/>
    <col min="135" max="135" width="33.42578125" bestFit="1" customWidth="1"/>
    <col min="136" max="136" width="22" customWidth="1"/>
    <col min="137" max="137" width="20.140625" customWidth="1"/>
    <col min="138" max="138" width="15" bestFit="1" customWidth="1"/>
    <col min="139" max="139" width="25.85546875" customWidth="1"/>
    <col min="140" max="140" width="21.85546875" customWidth="1"/>
    <col min="141" max="141" width="19.5703125" customWidth="1"/>
    <col min="142" max="142" width="18.5703125" customWidth="1"/>
    <col min="143" max="143" width="18.42578125" customWidth="1"/>
    <col min="144" max="144" width="11.85546875" customWidth="1"/>
    <col min="145" max="145" width="24.28515625" customWidth="1"/>
    <col min="146" max="146" width="21.42578125" customWidth="1"/>
    <col min="147" max="147" width="21.85546875" customWidth="1"/>
    <col min="148" max="148" width="19" customWidth="1"/>
    <col min="149" max="149" width="22" customWidth="1"/>
    <col min="150" max="150" width="19.140625" customWidth="1"/>
    <col min="151" max="151" width="26.7109375" customWidth="1"/>
    <col min="152" max="152" width="24.7109375" customWidth="1"/>
    <col min="153" max="153" width="20.140625" customWidth="1"/>
    <col min="154" max="154" width="12.85546875" customWidth="1"/>
    <col min="155" max="155" width="10" customWidth="1"/>
    <col min="156" max="156" width="13.7109375" customWidth="1"/>
    <col min="157" max="157" width="12.85546875" customWidth="1"/>
    <col min="158" max="158" width="13.28515625" customWidth="1"/>
    <col min="159" max="159" width="19.85546875" customWidth="1"/>
    <col min="160" max="160" width="18.5703125" bestFit="1" customWidth="1"/>
    <col min="161" max="161" width="18.5703125" customWidth="1"/>
    <col min="162" max="162" width="17.28515625" bestFit="1" customWidth="1"/>
    <col min="163" max="163" width="15.5703125" customWidth="1"/>
    <col min="164" max="164" width="12.140625" customWidth="1"/>
    <col min="165" max="165" width="16.28515625" customWidth="1"/>
    <col min="166" max="166" width="19.28515625" bestFit="1" customWidth="1"/>
    <col min="168" max="168" width="27.7109375" bestFit="1" customWidth="1"/>
    <col min="169" max="169" width="32" bestFit="1" customWidth="1"/>
    <col min="170" max="170" width="23.42578125" bestFit="1" customWidth="1"/>
    <col min="171" max="171" width="19.28515625" bestFit="1" customWidth="1"/>
  </cols>
  <sheetData>
    <row r="1" spans="1:171" s="5" customFormat="1" ht="15" customHeight="1" x14ac:dyDescent="0.25">
      <c r="A1" s="5" t="s">
        <v>209</v>
      </c>
      <c r="B1" s="6" t="s">
        <v>55</v>
      </c>
      <c r="C1" s="6" t="s">
        <v>56</v>
      </c>
      <c r="D1" s="7" t="s">
        <v>210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221</v>
      </c>
      <c r="L1" s="7" t="s">
        <v>222</v>
      </c>
      <c r="M1" s="7" t="s">
        <v>223</v>
      </c>
      <c r="N1" s="7" t="s">
        <v>224</v>
      </c>
      <c r="O1" s="7" t="s">
        <v>217</v>
      </c>
      <c r="P1" s="7" t="s">
        <v>218</v>
      </c>
      <c r="Q1" s="7" t="s">
        <v>219</v>
      </c>
      <c r="R1" s="7" t="s">
        <v>220</v>
      </c>
      <c r="S1" s="7" t="s">
        <v>212</v>
      </c>
      <c r="T1" s="7" t="s">
        <v>211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225</v>
      </c>
      <c r="AH1" s="7" t="s">
        <v>226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  <c r="AU1" s="7" t="s">
        <v>213</v>
      </c>
      <c r="AV1" s="7" t="s">
        <v>227</v>
      </c>
      <c r="AW1" s="7" t="s">
        <v>228</v>
      </c>
      <c r="AX1" s="7" t="s">
        <v>229</v>
      </c>
      <c r="AY1" s="7" t="s">
        <v>230</v>
      </c>
      <c r="AZ1" s="7" t="s">
        <v>231</v>
      </c>
      <c r="BA1" s="7" t="s">
        <v>232</v>
      </c>
      <c r="BB1" s="7" t="s">
        <v>233</v>
      </c>
      <c r="BC1" s="7" t="s">
        <v>108</v>
      </c>
      <c r="BD1" s="7" t="s">
        <v>109</v>
      </c>
      <c r="BE1" s="7" t="s">
        <v>110</v>
      </c>
      <c r="BF1" s="7" t="s">
        <v>111</v>
      </c>
      <c r="BG1" s="7" t="s">
        <v>112</v>
      </c>
      <c r="BH1" s="7" t="s">
        <v>113</v>
      </c>
      <c r="BI1" s="7" t="s">
        <v>114</v>
      </c>
      <c r="BJ1" s="7" t="s">
        <v>115</v>
      </c>
      <c r="BK1" s="7" t="s">
        <v>116</v>
      </c>
      <c r="BL1" s="7" t="s">
        <v>117</v>
      </c>
      <c r="BM1" s="7" t="s">
        <v>118</v>
      </c>
      <c r="BN1" s="7" t="s">
        <v>119</v>
      </c>
      <c r="BO1" s="7" t="s">
        <v>120</v>
      </c>
      <c r="BP1" s="7" t="s">
        <v>121</v>
      </c>
      <c r="BQ1" s="7" t="s">
        <v>122</v>
      </c>
      <c r="BR1" s="7" t="s">
        <v>123</v>
      </c>
      <c r="BS1" s="7" t="s">
        <v>124</v>
      </c>
      <c r="BT1" s="7" t="s">
        <v>125</v>
      </c>
      <c r="BU1" s="7" t="s">
        <v>126</v>
      </c>
      <c r="BV1" s="7" t="s">
        <v>127</v>
      </c>
      <c r="BW1" s="7" t="s">
        <v>128</v>
      </c>
      <c r="BX1" s="7" t="s">
        <v>129</v>
      </c>
      <c r="BY1" s="7" t="s">
        <v>130</v>
      </c>
      <c r="BZ1" s="7" t="s">
        <v>131</v>
      </c>
      <c r="CA1" s="7" t="s">
        <v>132</v>
      </c>
      <c r="CB1" s="7" t="s">
        <v>133</v>
      </c>
      <c r="CC1" s="7" t="s">
        <v>134</v>
      </c>
      <c r="CD1" s="7" t="s">
        <v>135</v>
      </c>
      <c r="CE1" s="7" t="s">
        <v>136</v>
      </c>
      <c r="CF1" s="7" t="s">
        <v>137</v>
      </c>
      <c r="CG1" s="7" t="s">
        <v>138</v>
      </c>
      <c r="CH1" s="7" t="s">
        <v>139</v>
      </c>
      <c r="CI1" s="7" t="s">
        <v>140</v>
      </c>
      <c r="CJ1" s="7" t="s">
        <v>141</v>
      </c>
      <c r="CK1" s="7" t="s">
        <v>142</v>
      </c>
      <c r="CL1" s="7" t="s">
        <v>143</v>
      </c>
      <c r="CM1" s="7" t="s">
        <v>144</v>
      </c>
      <c r="CN1" s="7" t="s">
        <v>145</v>
      </c>
      <c r="CO1" s="7" t="s">
        <v>6</v>
      </c>
      <c r="CP1" s="7" t="s">
        <v>7</v>
      </c>
      <c r="CQ1" s="7" t="s">
        <v>147</v>
      </c>
      <c r="CR1" s="7" t="s">
        <v>148</v>
      </c>
      <c r="CS1" s="7" t="s">
        <v>149</v>
      </c>
      <c r="CT1" s="7" t="s">
        <v>150</v>
      </c>
      <c r="CU1" s="7" t="s">
        <v>151</v>
      </c>
      <c r="CV1" s="7" t="s">
        <v>152</v>
      </c>
      <c r="CW1" s="7" t="s">
        <v>153</v>
      </c>
      <c r="CX1" s="7" t="s">
        <v>154</v>
      </c>
      <c r="CY1" s="7" t="s">
        <v>155</v>
      </c>
      <c r="CZ1" s="7" t="s">
        <v>156</v>
      </c>
      <c r="DA1" s="7" t="s">
        <v>157</v>
      </c>
      <c r="DB1" s="7" t="s">
        <v>158</v>
      </c>
      <c r="DC1" s="7" t="s">
        <v>289</v>
      </c>
      <c r="DD1" s="7" t="s">
        <v>160</v>
      </c>
      <c r="DE1" s="7" t="s">
        <v>161</v>
      </c>
      <c r="DF1" s="7" t="s">
        <v>234</v>
      </c>
      <c r="DG1" s="7" t="s">
        <v>163</v>
      </c>
      <c r="DH1" s="7" t="s">
        <v>164</v>
      </c>
      <c r="DI1" s="7" t="s">
        <v>165</v>
      </c>
      <c r="DJ1" s="7" t="s">
        <v>166</v>
      </c>
      <c r="DK1" s="7" t="s">
        <v>167</v>
      </c>
      <c r="DL1" s="7" t="s">
        <v>168</v>
      </c>
      <c r="DM1" s="7" t="s">
        <v>169</v>
      </c>
      <c r="DN1" s="7" t="s">
        <v>170</v>
      </c>
      <c r="DO1" s="7" t="s">
        <v>171</v>
      </c>
      <c r="DP1" s="7" t="s">
        <v>172</v>
      </c>
      <c r="DQ1" s="7" t="s">
        <v>173</v>
      </c>
      <c r="DR1" s="7" t="s">
        <v>174</v>
      </c>
      <c r="DS1" s="7" t="s">
        <v>175</v>
      </c>
      <c r="DT1" s="7" t="s">
        <v>176</v>
      </c>
      <c r="DU1" s="7" t="s">
        <v>177</v>
      </c>
      <c r="DV1" s="7" t="s">
        <v>178</v>
      </c>
      <c r="DW1" s="7" t="s">
        <v>179</v>
      </c>
      <c r="DX1" s="7" t="s">
        <v>180</v>
      </c>
      <c r="DY1" s="7" t="s">
        <v>181</v>
      </c>
      <c r="DZ1" s="7" t="s">
        <v>235</v>
      </c>
      <c r="EA1" s="7" t="s">
        <v>236</v>
      </c>
      <c r="EB1" s="7" t="s">
        <v>237</v>
      </c>
      <c r="EC1" s="7" t="s">
        <v>256</v>
      </c>
      <c r="ED1" s="7" t="s">
        <v>255</v>
      </c>
      <c r="EE1" s="7" t="s">
        <v>186</v>
      </c>
      <c r="EF1" s="7" t="s">
        <v>254</v>
      </c>
      <c r="EG1" s="7" t="s">
        <v>253</v>
      </c>
      <c r="EH1" s="7" t="s">
        <v>188</v>
      </c>
      <c r="EI1" s="7" t="s">
        <v>252</v>
      </c>
      <c r="EJ1" s="7" t="s">
        <v>251</v>
      </c>
      <c r="EK1" s="7" t="s">
        <v>250</v>
      </c>
      <c r="EL1" s="7" t="s">
        <v>249</v>
      </c>
      <c r="EM1" s="7" t="s">
        <v>248</v>
      </c>
      <c r="EN1" s="7" t="s">
        <v>247</v>
      </c>
      <c r="EO1" s="7" t="s">
        <v>246</v>
      </c>
      <c r="EP1" s="7" t="s">
        <v>245</v>
      </c>
      <c r="EQ1" s="7" t="s">
        <v>244</v>
      </c>
      <c r="ER1" s="7" t="s">
        <v>243</v>
      </c>
      <c r="ES1" s="7" t="s">
        <v>242</v>
      </c>
      <c r="ET1" s="7" t="s">
        <v>241</v>
      </c>
      <c r="EU1" s="7" t="s">
        <v>240</v>
      </c>
      <c r="EV1" s="7" t="s">
        <v>202</v>
      </c>
      <c r="EW1" s="7" t="s">
        <v>203</v>
      </c>
      <c r="EX1" s="7" t="s">
        <v>239</v>
      </c>
      <c r="EY1" s="7" t="s">
        <v>291</v>
      </c>
      <c r="EZ1" s="7" t="s">
        <v>215</v>
      </c>
      <c r="FA1" s="7" t="s">
        <v>214</v>
      </c>
      <c r="FB1" s="7" t="s">
        <v>238</v>
      </c>
      <c r="FC1" s="8" t="s">
        <v>285</v>
      </c>
      <c r="FD1" s="8" t="s">
        <v>312</v>
      </c>
      <c r="FE1" s="8" t="s">
        <v>313</v>
      </c>
      <c r="FF1" s="8" t="s">
        <v>286</v>
      </c>
      <c r="FG1" s="8" t="s">
        <v>287</v>
      </c>
      <c r="FH1" s="8" t="s">
        <v>288</v>
      </c>
      <c r="FI1" s="8" t="s">
        <v>290</v>
      </c>
      <c r="FJ1" s="8" t="s">
        <v>292</v>
      </c>
      <c r="FK1" s="9" t="s">
        <v>293</v>
      </c>
      <c r="FL1" s="9" t="s">
        <v>295</v>
      </c>
      <c r="FM1" s="9" t="s">
        <v>299</v>
      </c>
      <c r="FN1" s="9" t="s">
        <v>305</v>
      </c>
      <c r="FO1" s="9" t="s">
        <v>304</v>
      </c>
    </row>
    <row r="2" spans="1:171" ht="15" customHeight="1" x14ac:dyDescent="0.25">
      <c r="A2" t="s">
        <v>216</v>
      </c>
      <c r="B2" s="1" t="s">
        <v>55</v>
      </c>
      <c r="C2" s="1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68</v>
      </c>
      <c r="P2" s="2" t="s">
        <v>69</v>
      </c>
      <c r="Q2" s="2" t="s">
        <v>70</v>
      </c>
      <c r="R2" s="2" t="s">
        <v>71</v>
      </c>
      <c r="S2" s="2" t="s">
        <v>72</v>
      </c>
      <c r="T2" s="2" t="s">
        <v>73</v>
      </c>
      <c r="U2" s="2" t="s">
        <v>74</v>
      </c>
      <c r="V2" s="2" t="s">
        <v>75</v>
      </c>
      <c r="W2" s="2" t="s">
        <v>76</v>
      </c>
      <c r="X2" s="2" t="s">
        <v>77</v>
      </c>
      <c r="Y2" s="2" t="s">
        <v>78</v>
      </c>
      <c r="Z2" s="2" t="s">
        <v>79</v>
      </c>
      <c r="AA2" s="2" t="s">
        <v>80</v>
      </c>
      <c r="AB2" s="2" t="s">
        <v>81</v>
      </c>
      <c r="AC2" s="2" t="s">
        <v>82</v>
      </c>
      <c r="AD2" s="2" t="s">
        <v>83</v>
      </c>
      <c r="AE2" s="2" t="s">
        <v>84</v>
      </c>
      <c r="AF2" s="2" t="s">
        <v>85</v>
      </c>
      <c r="AG2" s="2" t="s">
        <v>86</v>
      </c>
      <c r="AH2" s="2" t="s">
        <v>87</v>
      </c>
      <c r="AI2" s="2" t="s">
        <v>88</v>
      </c>
      <c r="AJ2" s="2" t="s">
        <v>89</v>
      </c>
      <c r="AK2" s="2" t="s">
        <v>90</v>
      </c>
      <c r="AL2" s="2" t="s">
        <v>91</v>
      </c>
      <c r="AM2" s="2" t="s">
        <v>92</v>
      </c>
      <c r="AN2" s="2" t="s">
        <v>93</v>
      </c>
      <c r="AO2" s="2" t="s">
        <v>94</v>
      </c>
      <c r="AP2" s="2" t="s">
        <v>95</v>
      </c>
      <c r="AQ2" s="2" t="s">
        <v>96</v>
      </c>
      <c r="AR2" s="2" t="s">
        <v>97</v>
      </c>
      <c r="AS2" s="4" t="s">
        <v>98</v>
      </c>
      <c r="AT2" s="2" t="s">
        <v>99</v>
      </c>
      <c r="AU2" s="2" t="s">
        <v>100</v>
      </c>
      <c r="AV2" s="2" t="s">
        <v>101</v>
      </c>
      <c r="AW2" s="2" t="s">
        <v>102</v>
      </c>
      <c r="AX2" s="2" t="s">
        <v>103</v>
      </c>
      <c r="AY2" s="2" t="s">
        <v>104</v>
      </c>
      <c r="AZ2" s="2" t="s">
        <v>105</v>
      </c>
      <c r="BA2" s="2" t="s">
        <v>106</v>
      </c>
      <c r="BB2" s="2" t="s">
        <v>107</v>
      </c>
      <c r="BC2" s="2" t="s">
        <v>108</v>
      </c>
      <c r="BD2" s="2" t="s">
        <v>109</v>
      </c>
      <c r="BE2" s="2" t="s">
        <v>110</v>
      </c>
      <c r="BF2" s="2" t="s">
        <v>111</v>
      </c>
      <c r="BG2" s="2" t="s">
        <v>112</v>
      </c>
      <c r="BH2" s="2" t="s">
        <v>113</v>
      </c>
      <c r="BI2" s="2" t="s">
        <v>114</v>
      </c>
      <c r="BJ2" s="2" t="s">
        <v>115</v>
      </c>
      <c r="BK2" s="2" t="s">
        <v>116</v>
      </c>
      <c r="BL2" s="2" t="s">
        <v>117</v>
      </c>
      <c r="BM2" s="2" t="s">
        <v>118</v>
      </c>
      <c r="BN2" s="2" t="s">
        <v>119</v>
      </c>
      <c r="BO2" s="2" t="s">
        <v>120</v>
      </c>
      <c r="BP2" s="2" t="s">
        <v>121</v>
      </c>
      <c r="BQ2" s="2" t="s">
        <v>122</v>
      </c>
      <c r="BR2" s="2" t="s">
        <v>123</v>
      </c>
      <c r="BS2" s="2" t="s">
        <v>124</v>
      </c>
      <c r="BT2" s="2" t="s">
        <v>125</v>
      </c>
      <c r="BU2" s="2" t="s">
        <v>126</v>
      </c>
      <c r="BV2" s="2" t="s">
        <v>127</v>
      </c>
      <c r="BW2" s="2" t="s">
        <v>128</v>
      </c>
      <c r="BX2" s="2" t="s">
        <v>129</v>
      </c>
      <c r="BY2" s="2" t="s">
        <v>130</v>
      </c>
      <c r="BZ2" s="2" t="s">
        <v>131</v>
      </c>
      <c r="CA2" s="2" t="s">
        <v>132</v>
      </c>
      <c r="CB2" s="2" t="s">
        <v>133</v>
      </c>
      <c r="CC2" s="2" t="s">
        <v>134</v>
      </c>
      <c r="CD2" s="2" t="s">
        <v>135</v>
      </c>
      <c r="CE2" s="2" t="s">
        <v>136</v>
      </c>
      <c r="CF2" s="2" t="s">
        <v>137</v>
      </c>
      <c r="CG2" s="2" t="s">
        <v>138</v>
      </c>
      <c r="CH2" s="2" t="s">
        <v>139</v>
      </c>
      <c r="CI2" s="2" t="s">
        <v>140</v>
      </c>
      <c r="CJ2" s="2" t="s">
        <v>141</v>
      </c>
      <c r="CK2" s="2" t="s">
        <v>142</v>
      </c>
      <c r="CL2" s="2" t="s">
        <v>143</v>
      </c>
      <c r="CM2" s="2" t="s">
        <v>144</v>
      </c>
      <c r="CN2" s="2" t="s">
        <v>145</v>
      </c>
      <c r="CO2" s="2" t="s">
        <v>6</v>
      </c>
      <c r="CP2" s="2" t="s">
        <v>146</v>
      </c>
      <c r="CQ2" s="2" t="s">
        <v>147</v>
      </c>
      <c r="CR2" s="2" t="s">
        <v>148</v>
      </c>
      <c r="CS2" s="2" t="s">
        <v>149</v>
      </c>
      <c r="CT2" s="2" t="s">
        <v>150</v>
      </c>
      <c r="CU2" s="2" t="s">
        <v>151</v>
      </c>
      <c r="CV2" s="2" t="s">
        <v>152</v>
      </c>
      <c r="CW2" s="2" t="s">
        <v>153</v>
      </c>
      <c r="CX2" s="2" t="s">
        <v>154</v>
      </c>
      <c r="CY2" s="2" t="s">
        <v>155</v>
      </c>
      <c r="CZ2" s="2" t="s">
        <v>156</v>
      </c>
      <c r="DA2" s="2" t="s">
        <v>157</v>
      </c>
      <c r="DB2" s="2" t="s">
        <v>158</v>
      </c>
      <c r="DC2" s="2" t="s">
        <v>159</v>
      </c>
      <c r="DD2" s="2" t="s">
        <v>160</v>
      </c>
      <c r="DE2" s="2" t="s">
        <v>161</v>
      </c>
      <c r="DF2" s="2" t="s">
        <v>162</v>
      </c>
      <c r="DG2" s="2" t="s">
        <v>163</v>
      </c>
      <c r="DH2" s="2" t="s">
        <v>164</v>
      </c>
      <c r="DI2" s="2" t="s">
        <v>165</v>
      </c>
      <c r="DJ2" s="2" t="s">
        <v>166</v>
      </c>
      <c r="DK2" s="2" t="s">
        <v>167</v>
      </c>
      <c r="DL2" s="2" t="s">
        <v>168</v>
      </c>
      <c r="DM2" s="2" t="s">
        <v>169</v>
      </c>
      <c r="DN2" s="2" t="s">
        <v>170</v>
      </c>
      <c r="DO2" s="2" t="s">
        <v>171</v>
      </c>
      <c r="DP2" s="2" t="s">
        <v>172</v>
      </c>
      <c r="DQ2" s="2" t="s">
        <v>173</v>
      </c>
      <c r="DR2" s="2" t="s">
        <v>174</v>
      </c>
      <c r="DS2" s="2" t="s">
        <v>175</v>
      </c>
      <c r="DT2" s="2" t="s">
        <v>176</v>
      </c>
      <c r="DU2" s="2" t="s">
        <v>177</v>
      </c>
      <c r="DV2" s="2" t="s">
        <v>178</v>
      </c>
      <c r="DW2" s="2" t="s">
        <v>179</v>
      </c>
      <c r="DX2" s="2" t="s">
        <v>180</v>
      </c>
      <c r="DY2" s="2" t="s">
        <v>181</v>
      </c>
      <c r="DZ2" s="2" t="s">
        <v>182</v>
      </c>
      <c r="EA2" s="2" t="s">
        <v>183</v>
      </c>
      <c r="EB2" s="2" t="s">
        <v>41</v>
      </c>
      <c r="EC2" s="2" t="s">
        <v>184</v>
      </c>
      <c r="ED2" s="2" t="s">
        <v>185</v>
      </c>
      <c r="EE2" s="2" t="s">
        <v>186</v>
      </c>
      <c r="EF2" s="2" t="s">
        <v>187</v>
      </c>
      <c r="EG2" s="2" t="s">
        <v>51</v>
      </c>
      <c r="EH2" s="2" t="s">
        <v>188</v>
      </c>
      <c r="EI2" s="2" t="s">
        <v>189</v>
      </c>
      <c r="EJ2" s="2" t="s">
        <v>190</v>
      </c>
      <c r="EK2" s="2" t="s">
        <v>191</v>
      </c>
      <c r="EL2" s="2" t="s">
        <v>192</v>
      </c>
      <c r="EM2" s="2" t="s">
        <v>193</v>
      </c>
      <c r="EN2" s="2" t="s">
        <v>194</v>
      </c>
      <c r="EO2" s="2" t="s">
        <v>195</v>
      </c>
      <c r="EP2" s="2" t="s">
        <v>196</v>
      </c>
      <c r="EQ2" s="2" t="s">
        <v>197</v>
      </c>
      <c r="ER2" s="2" t="s">
        <v>198</v>
      </c>
      <c r="ES2" s="2" t="s">
        <v>199</v>
      </c>
      <c r="ET2" s="2" t="s">
        <v>200</v>
      </c>
      <c r="EU2" s="2" t="s">
        <v>201</v>
      </c>
      <c r="EV2" s="2" t="s">
        <v>202</v>
      </c>
      <c r="EW2" s="2" t="s">
        <v>203</v>
      </c>
      <c r="EX2" s="2" t="s">
        <v>204</v>
      </c>
      <c r="EY2" s="2" t="s">
        <v>205</v>
      </c>
      <c r="EZ2" s="2" t="s">
        <v>206</v>
      </c>
      <c r="FA2" s="2" t="s">
        <v>207</v>
      </c>
      <c r="FB2" s="2" t="s">
        <v>208</v>
      </c>
      <c r="FC2" t="e">
        <f>Table1[[#This Row],[CIRC_HOURS]]+Table1[[#This Row],[DRILLING_HOURS]]</f>
        <v>#VALUE!</v>
      </c>
      <c r="FD2" t="str">
        <f>Table1[[#This Row],[DATE_IN]]</f>
        <v>DATEIN</v>
      </c>
      <c r="FE2" t="str">
        <f>Table1[[#This Row],[DATE_OUT]]</f>
        <v>DATEOUT</v>
      </c>
      <c r="FF2" t="str">
        <f>Table1[[#This Row],[BEND]]</f>
        <v>BENDANGLE</v>
      </c>
      <c r="FG2" t="s">
        <v>310</v>
      </c>
      <c r="FH2" t="s">
        <v>306</v>
      </c>
      <c r="FI2" t="str">
        <f>Table1[[#This Row],[BHA]]</f>
        <v>BHA</v>
      </c>
      <c r="FJ2" t="e">
        <f>Table1[[#This Row],[LOBES]]+Table1[[#This Row],[STAGES]]</f>
        <v>#VALUE!</v>
      </c>
      <c r="FK2" t="s">
        <v>294</v>
      </c>
      <c r="FL2" t="s">
        <v>303</v>
      </c>
      <c r="FM2" t="s">
        <v>300</v>
      </c>
      <c r="FN2" t="s">
        <v>307</v>
      </c>
      <c r="FO2" t="s">
        <v>314</v>
      </c>
    </row>
    <row r="3" spans="1:171" ht="15" customHeight="1" x14ac:dyDescent="0.25">
      <c r="A3" t="s">
        <v>257</v>
      </c>
      <c r="B3" t="s">
        <v>0</v>
      </c>
      <c r="C3" t="s">
        <v>1</v>
      </c>
      <c r="D3" t="s">
        <v>8</v>
      </c>
      <c r="E3" t="s">
        <v>2</v>
      </c>
      <c r="F3" t="s">
        <v>5</v>
      </c>
      <c r="G3" t="s">
        <v>4</v>
      </c>
      <c r="H3" t="s">
        <v>10</v>
      </c>
      <c r="I3" t="s">
        <v>308</v>
      </c>
      <c r="J3" t="s">
        <v>3</v>
      </c>
      <c r="K3" t="s">
        <v>12</v>
      </c>
      <c r="L3" t="s">
        <v>13</v>
      </c>
      <c r="M3" t="s">
        <v>15</v>
      </c>
      <c r="N3" t="s">
        <v>16</v>
      </c>
      <c r="O3" t="s">
        <v>17</v>
      </c>
      <c r="P3" t="s">
        <v>308</v>
      </c>
      <c r="Q3" t="s">
        <v>308</v>
      </c>
      <c r="R3" t="s">
        <v>21</v>
      </c>
      <c r="S3" t="s">
        <v>22</v>
      </c>
      <c r="T3" t="s">
        <v>20</v>
      </c>
      <c r="U3" t="s">
        <v>49</v>
      </c>
      <c r="V3" t="s">
        <v>308</v>
      </c>
      <c r="W3" t="s">
        <v>12</v>
      </c>
      <c r="X3" t="s">
        <v>13</v>
      </c>
      <c r="Y3" t="s">
        <v>18</v>
      </c>
      <c r="Z3" t="s">
        <v>19</v>
      </c>
      <c r="AA3" t="s">
        <v>23</v>
      </c>
      <c r="AB3" t="s">
        <v>308</v>
      </c>
      <c r="AC3" t="s">
        <v>42</v>
      </c>
      <c r="AD3" t="s">
        <v>43</v>
      </c>
      <c r="AE3" t="s">
        <v>44</v>
      </c>
      <c r="AF3" t="s">
        <v>45</v>
      </c>
      <c r="AH3" t="s">
        <v>46</v>
      </c>
      <c r="AI3" t="s">
        <v>308</v>
      </c>
      <c r="AJ3" t="s">
        <v>37</v>
      </c>
      <c r="AK3" t="s">
        <v>308</v>
      </c>
      <c r="AL3" t="s">
        <v>308</v>
      </c>
      <c r="AM3" t="s">
        <v>308</v>
      </c>
      <c r="AN3" t="s">
        <v>308</v>
      </c>
      <c r="AO3" t="s">
        <v>38</v>
      </c>
      <c r="AP3" t="s">
        <v>29</v>
      </c>
      <c r="AQ3" t="s">
        <v>308</v>
      </c>
      <c r="AR3" t="s">
        <v>31</v>
      </c>
      <c r="AS3" t="s">
        <v>29</v>
      </c>
      <c r="AT3" t="s">
        <v>308</v>
      </c>
      <c r="AU3" t="s">
        <v>33</v>
      </c>
      <c r="AV3" t="s">
        <v>308</v>
      </c>
      <c r="AW3" t="s">
        <v>308</v>
      </c>
      <c r="AX3" s="3" t="s">
        <v>32</v>
      </c>
      <c r="AY3" s="3" t="s">
        <v>32</v>
      </c>
      <c r="AZ3" t="s">
        <v>308</v>
      </c>
      <c r="BA3" t="s">
        <v>308</v>
      </c>
      <c r="BB3" t="s">
        <v>28</v>
      </c>
      <c r="BC3" t="s">
        <v>308</v>
      </c>
      <c r="BD3" t="s">
        <v>24</v>
      </c>
      <c r="BE3" t="s">
        <v>25</v>
      </c>
      <c r="BF3" t="s">
        <v>308</v>
      </c>
      <c r="BG3" t="s">
        <v>308</v>
      </c>
      <c r="BH3" t="s">
        <v>308</v>
      </c>
      <c r="BI3" t="s">
        <v>26</v>
      </c>
      <c r="BJ3" t="s">
        <v>27</v>
      </c>
      <c r="BL3" t="s">
        <v>48</v>
      </c>
      <c r="BM3" t="s">
        <v>308</v>
      </c>
      <c r="BN3" t="s">
        <v>308</v>
      </c>
      <c r="BO3" t="s">
        <v>308</v>
      </c>
      <c r="BP3" t="s">
        <v>308</v>
      </c>
      <c r="BQ3" t="s">
        <v>308</v>
      </c>
      <c r="BR3" t="s">
        <v>308</v>
      </c>
      <c r="BS3" t="s">
        <v>308</v>
      </c>
      <c r="BT3" t="s">
        <v>308</v>
      </c>
      <c r="BU3" t="s">
        <v>308</v>
      </c>
      <c r="BV3" t="s">
        <v>308</v>
      </c>
      <c r="BW3" t="s">
        <v>308</v>
      </c>
      <c r="BX3" t="s">
        <v>308</v>
      </c>
      <c r="BY3" t="s">
        <v>308</v>
      </c>
      <c r="BZ3" t="s">
        <v>308</v>
      </c>
      <c r="CA3" t="s">
        <v>308</v>
      </c>
      <c r="CB3" t="s">
        <v>308</v>
      </c>
      <c r="CC3" t="s">
        <v>308</v>
      </c>
      <c r="CD3" t="s">
        <v>308</v>
      </c>
      <c r="CE3" t="s">
        <v>308</v>
      </c>
      <c r="CF3" t="s">
        <v>308</v>
      </c>
      <c r="CG3" t="s">
        <v>308</v>
      </c>
      <c r="CH3" t="s">
        <v>308</v>
      </c>
      <c r="CI3" t="s">
        <v>308</v>
      </c>
      <c r="CJ3" t="s">
        <v>308</v>
      </c>
      <c r="CK3" t="s">
        <v>308</v>
      </c>
      <c r="CL3" t="s">
        <v>308</v>
      </c>
      <c r="CM3" t="s">
        <v>308</v>
      </c>
      <c r="CN3" t="s">
        <v>308</v>
      </c>
      <c r="CO3" t="s">
        <v>6</v>
      </c>
      <c r="CP3" t="s">
        <v>7</v>
      </c>
      <c r="CQ3" t="s">
        <v>308</v>
      </c>
      <c r="CR3" t="s">
        <v>308</v>
      </c>
      <c r="CS3" t="s">
        <v>308</v>
      </c>
      <c r="CT3" t="s">
        <v>14</v>
      </c>
      <c r="CU3" t="s">
        <v>11</v>
      </c>
      <c r="CV3" t="s">
        <v>308</v>
      </c>
      <c r="CW3" t="s">
        <v>308</v>
      </c>
      <c r="CX3" t="s">
        <v>308</v>
      </c>
      <c r="CY3" t="s">
        <v>308</v>
      </c>
      <c r="CZ3" t="s">
        <v>308</v>
      </c>
      <c r="DA3" t="s">
        <v>308</v>
      </c>
      <c r="DB3" t="s">
        <v>308</v>
      </c>
      <c r="DC3" t="s">
        <v>9</v>
      </c>
      <c r="DE3" t="s">
        <v>47</v>
      </c>
      <c r="DF3" t="s">
        <v>30</v>
      </c>
      <c r="DG3" t="s">
        <v>34</v>
      </c>
      <c r="DH3" t="s">
        <v>36</v>
      </c>
      <c r="DI3" t="s">
        <v>35</v>
      </c>
      <c r="DJ3" t="s">
        <v>308</v>
      </c>
      <c r="DK3" t="s">
        <v>308</v>
      </c>
      <c r="DL3" t="s">
        <v>308</v>
      </c>
      <c r="DM3" t="s">
        <v>308</v>
      </c>
      <c r="DN3" t="s">
        <v>308</v>
      </c>
      <c r="DO3" t="s">
        <v>308</v>
      </c>
      <c r="DP3" t="s">
        <v>308</v>
      </c>
      <c r="DQ3" t="s">
        <v>308</v>
      </c>
      <c r="DR3" t="s">
        <v>308</v>
      </c>
      <c r="DS3" t="s">
        <v>308</v>
      </c>
      <c r="DT3" t="s">
        <v>308</v>
      </c>
      <c r="DU3" t="s">
        <v>308</v>
      </c>
      <c r="DV3" t="s">
        <v>308</v>
      </c>
      <c r="DW3" t="s">
        <v>308</v>
      </c>
      <c r="DX3" t="s">
        <v>308</v>
      </c>
      <c r="DY3" t="s">
        <v>308</v>
      </c>
      <c r="DZ3" t="s">
        <v>39</v>
      </c>
      <c r="EA3" t="s">
        <v>40</v>
      </c>
      <c r="EB3" t="s">
        <v>41</v>
      </c>
      <c r="EC3" t="s">
        <v>308</v>
      </c>
      <c r="ED3" t="s">
        <v>50</v>
      </c>
      <c r="EE3" t="str">
        <f>Table1[[#This Row],[MOTOR_YIELD]]</f>
        <v xml:space="preserve">Yield &gt;45 deg </v>
      </c>
      <c r="EF3" t="s">
        <v>53</v>
      </c>
      <c r="EG3" t="s">
        <v>308</v>
      </c>
      <c r="EH3" t="s">
        <v>52</v>
      </c>
      <c r="EI3" t="s">
        <v>308</v>
      </c>
      <c r="EJ3" t="s">
        <v>308</v>
      </c>
      <c r="EK3" t="s">
        <v>308</v>
      </c>
      <c r="EL3" t="s">
        <v>308</v>
      </c>
      <c r="EM3" t="s">
        <v>308</v>
      </c>
      <c r="EN3" t="s">
        <v>308</v>
      </c>
      <c r="EO3" t="s">
        <v>308</v>
      </c>
      <c r="EP3" t="s">
        <v>308</v>
      </c>
      <c r="EQ3" t="s">
        <v>308</v>
      </c>
      <c r="ER3" t="s">
        <v>308</v>
      </c>
      <c r="ES3" t="s">
        <v>308</v>
      </c>
      <c r="ET3" t="s">
        <v>308</v>
      </c>
      <c r="EU3" t="s">
        <v>308</v>
      </c>
      <c r="EV3" t="s">
        <v>308</v>
      </c>
      <c r="EW3" t="s">
        <v>308</v>
      </c>
      <c r="EX3" t="s">
        <v>308</v>
      </c>
      <c r="EY3" t="s">
        <v>11</v>
      </c>
      <c r="EZ3" t="s">
        <v>308</v>
      </c>
      <c r="FA3" t="s">
        <v>308</v>
      </c>
      <c r="FB3" t="s">
        <v>308</v>
      </c>
      <c r="FC3" t="str">
        <f>Table1[[#This Row],[CIRC_HOURS]]</f>
        <v>C+D Hrs</v>
      </c>
      <c r="FD3" t="str">
        <f>Table1[[#This Row],[DATE_IN]]</f>
        <v>Start of Run</v>
      </c>
      <c r="FE3" t="str">
        <f>Table1[[#This Row],[DATE_OUT]]</f>
        <v>End of Run</v>
      </c>
      <c r="FF3" t="str">
        <f>Table1[[#This Row],[BEND]]</f>
        <v>Bend</v>
      </c>
      <c r="FG3" t="s">
        <v>310</v>
      </c>
      <c r="FH3" t="s">
        <v>306</v>
      </c>
      <c r="FI3" t="str">
        <f>Table1[[#This Row],[BHA]]</f>
        <v>Run #</v>
      </c>
      <c r="FJ3" t="str">
        <f>Table1[[#This Row],[LOBES]]</f>
        <v>Stage/Lobe</v>
      </c>
      <c r="FK3" t="s">
        <v>49</v>
      </c>
      <c r="FL3" t="s">
        <v>296</v>
      </c>
      <c r="FM3" t="s">
        <v>301</v>
      </c>
      <c r="FN3" t="s">
        <v>307</v>
      </c>
      <c r="FO3" t="s">
        <v>314</v>
      </c>
    </row>
    <row r="4" spans="1:171" ht="15" customHeight="1" x14ac:dyDescent="0.25">
      <c r="A4" t="s">
        <v>282</v>
      </c>
      <c r="B4" t="s">
        <v>258</v>
      </c>
      <c r="C4" t="s">
        <v>259</v>
      </c>
      <c r="D4" t="s">
        <v>260</v>
      </c>
      <c r="E4" t="s">
        <v>2</v>
      </c>
      <c r="F4" t="s">
        <v>5</v>
      </c>
      <c r="G4" t="s">
        <v>309</v>
      </c>
      <c r="H4" t="s">
        <v>309</v>
      </c>
      <c r="I4" t="s">
        <v>309</v>
      </c>
      <c r="J4" t="s">
        <v>261</v>
      </c>
      <c r="K4" t="s">
        <v>262</v>
      </c>
      <c r="L4" t="s">
        <v>263</v>
      </c>
      <c r="M4" t="s">
        <v>309</v>
      </c>
      <c r="N4" t="s">
        <v>309</v>
      </c>
      <c r="O4" t="s">
        <v>264</v>
      </c>
      <c r="P4" t="s">
        <v>309</v>
      </c>
      <c r="Q4" t="s">
        <v>309</v>
      </c>
      <c r="R4" t="s">
        <v>309</v>
      </c>
      <c r="S4" t="s">
        <v>309</v>
      </c>
      <c r="T4" t="s">
        <v>309</v>
      </c>
      <c r="U4" t="s">
        <v>309</v>
      </c>
      <c r="V4" t="s">
        <v>309</v>
      </c>
      <c r="W4" t="s">
        <v>309</v>
      </c>
      <c r="X4" t="s">
        <v>309</v>
      </c>
      <c r="Y4" t="s">
        <v>271</v>
      </c>
      <c r="Z4" t="s">
        <v>272</v>
      </c>
      <c r="AA4" t="s">
        <v>309</v>
      </c>
      <c r="AB4" t="s">
        <v>309</v>
      </c>
      <c r="AC4" t="s">
        <v>309</v>
      </c>
      <c r="AD4" t="s">
        <v>309</v>
      </c>
      <c r="AE4" t="s">
        <v>309</v>
      </c>
      <c r="AF4" t="s">
        <v>309</v>
      </c>
      <c r="AG4" t="s">
        <v>309</v>
      </c>
      <c r="AH4" t="s">
        <v>309</v>
      </c>
      <c r="AI4" t="s">
        <v>309</v>
      </c>
      <c r="AJ4" t="s">
        <v>274</v>
      </c>
      <c r="AK4" t="s">
        <v>309</v>
      </c>
      <c r="AL4" t="s">
        <v>309</v>
      </c>
      <c r="AM4" t="s">
        <v>309</v>
      </c>
      <c r="AN4" t="s">
        <v>309</v>
      </c>
      <c r="AO4" t="s">
        <v>309</v>
      </c>
      <c r="AP4" t="s">
        <v>54</v>
      </c>
      <c r="AQ4" t="s">
        <v>309</v>
      </c>
      <c r="AR4" t="s">
        <v>265</v>
      </c>
      <c r="AS4" t="s">
        <v>54</v>
      </c>
      <c r="AT4" t="s">
        <v>309</v>
      </c>
      <c r="AU4" s="3" t="s">
        <v>277</v>
      </c>
      <c r="AV4" t="s">
        <v>309</v>
      </c>
      <c r="AW4" t="s">
        <v>309</v>
      </c>
      <c r="AX4" t="s">
        <v>278</v>
      </c>
      <c r="AY4" t="s">
        <v>279</v>
      </c>
      <c r="AZ4" t="s">
        <v>309</v>
      </c>
      <c r="BA4" t="s">
        <v>309</v>
      </c>
      <c r="BB4" t="s">
        <v>309</v>
      </c>
      <c r="BC4" t="s">
        <v>309</v>
      </c>
      <c r="BD4" t="s">
        <v>309</v>
      </c>
      <c r="BE4" t="s">
        <v>309</v>
      </c>
      <c r="BF4" t="s">
        <v>309</v>
      </c>
      <c r="BG4" t="s">
        <v>309</v>
      </c>
      <c r="BH4" t="s">
        <v>309</v>
      </c>
      <c r="BI4" t="s">
        <v>309</v>
      </c>
      <c r="BJ4" t="s">
        <v>309</v>
      </c>
      <c r="BK4" t="s">
        <v>309</v>
      </c>
      <c r="BL4" t="s">
        <v>309</v>
      </c>
      <c r="BM4" t="s">
        <v>309</v>
      </c>
      <c r="BN4" t="s">
        <v>309</v>
      </c>
      <c r="BO4" t="s">
        <v>309</v>
      </c>
      <c r="BP4" t="s">
        <v>309</v>
      </c>
      <c r="BQ4" t="s">
        <v>309</v>
      </c>
      <c r="BR4" t="s">
        <v>309</v>
      </c>
      <c r="BS4" t="s">
        <v>309</v>
      </c>
      <c r="BT4" t="s">
        <v>309</v>
      </c>
      <c r="BU4" t="s">
        <v>309</v>
      </c>
      <c r="BV4" t="s">
        <v>309</v>
      </c>
      <c r="BW4" t="s">
        <v>309</v>
      </c>
      <c r="BX4" t="s">
        <v>309</v>
      </c>
      <c r="BY4" t="s">
        <v>309</v>
      </c>
      <c r="BZ4" t="s">
        <v>309</v>
      </c>
      <c r="CA4" t="s">
        <v>309</v>
      </c>
      <c r="CB4" t="s">
        <v>309</v>
      </c>
      <c r="CC4" t="s">
        <v>309</v>
      </c>
      <c r="CD4" t="s">
        <v>309</v>
      </c>
      <c r="CE4" t="s">
        <v>309</v>
      </c>
      <c r="CF4" t="s">
        <v>309</v>
      </c>
      <c r="CG4" t="s">
        <v>309</v>
      </c>
      <c r="CH4" t="s">
        <v>309</v>
      </c>
      <c r="CI4" t="s">
        <v>309</v>
      </c>
      <c r="CJ4" t="s">
        <v>309</v>
      </c>
      <c r="CK4" t="s">
        <v>309</v>
      </c>
      <c r="CL4" t="s">
        <v>309</v>
      </c>
      <c r="CM4" t="s">
        <v>309</v>
      </c>
      <c r="CN4" t="s">
        <v>309</v>
      </c>
      <c r="CO4" t="s">
        <v>266</v>
      </c>
      <c r="CP4" t="s">
        <v>267</v>
      </c>
      <c r="CQ4" t="s">
        <v>309</v>
      </c>
      <c r="CR4" t="s">
        <v>309</v>
      </c>
      <c r="CS4" t="s">
        <v>309</v>
      </c>
      <c r="CT4" t="s">
        <v>270</v>
      </c>
      <c r="CU4" t="s">
        <v>309</v>
      </c>
      <c r="CV4" t="s">
        <v>309</v>
      </c>
      <c r="CW4" t="s">
        <v>309</v>
      </c>
      <c r="CX4" t="s">
        <v>309</v>
      </c>
      <c r="CY4" t="s">
        <v>309</v>
      </c>
      <c r="CZ4" t="s">
        <v>309</v>
      </c>
      <c r="DA4" t="s">
        <v>309</v>
      </c>
      <c r="DB4" t="s">
        <v>309</v>
      </c>
      <c r="DC4" t="s">
        <v>9</v>
      </c>
      <c r="DD4" t="s">
        <v>309</v>
      </c>
      <c r="DE4" t="s">
        <v>309</v>
      </c>
      <c r="DF4" t="s">
        <v>275</v>
      </c>
      <c r="DG4" t="s">
        <v>276</v>
      </c>
      <c r="DH4" t="s">
        <v>268</v>
      </c>
      <c r="DI4" t="s">
        <v>269</v>
      </c>
      <c r="DJ4" t="s">
        <v>309</v>
      </c>
      <c r="DK4" t="s">
        <v>309</v>
      </c>
      <c r="DL4" t="s">
        <v>309</v>
      </c>
      <c r="DM4" t="s">
        <v>309</v>
      </c>
      <c r="DN4" t="s">
        <v>309</v>
      </c>
      <c r="DO4" t="s">
        <v>309</v>
      </c>
      <c r="DP4" t="s">
        <v>309</v>
      </c>
      <c r="DQ4" t="s">
        <v>309</v>
      </c>
      <c r="DR4" t="s">
        <v>309</v>
      </c>
      <c r="DS4" t="s">
        <v>309</v>
      </c>
      <c r="DT4" t="s">
        <v>309</v>
      </c>
      <c r="DU4" t="s">
        <v>309</v>
      </c>
      <c r="DV4" t="s">
        <v>309</v>
      </c>
      <c r="DW4" t="s">
        <v>309</v>
      </c>
      <c r="DX4" t="s">
        <v>309</v>
      </c>
      <c r="DY4" t="s">
        <v>309</v>
      </c>
      <c r="DZ4" t="s">
        <v>182</v>
      </c>
      <c r="EA4" t="s">
        <v>280</v>
      </c>
      <c r="EB4" t="s">
        <v>309</v>
      </c>
      <c r="EC4" t="s">
        <v>309</v>
      </c>
      <c r="ED4" t="s">
        <v>281</v>
      </c>
      <c r="EE4" t="s">
        <v>309</v>
      </c>
      <c r="EF4" t="s">
        <v>309</v>
      </c>
      <c r="EG4" t="s">
        <v>309</v>
      </c>
      <c r="EH4" t="s">
        <v>283</v>
      </c>
      <c r="EI4" t="s">
        <v>309</v>
      </c>
      <c r="EJ4" t="s">
        <v>309</v>
      </c>
      <c r="EK4" t="s">
        <v>309</v>
      </c>
      <c r="EL4" t="s">
        <v>309</v>
      </c>
      <c r="EM4" t="s">
        <v>309</v>
      </c>
      <c r="EN4" t="s">
        <v>309</v>
      </c>
      <c r="EO4" t="s">
        <v>309</v>
      </c>
      <c r="EP4" t="s">
        <v>309</v>
      </c>
      <c r="EQ4" t="s">
        <v>309</v>
      </c>
      <c r="ER4" t="s">
        <v>309</v>
      </c>
      <c r="ES4" t="s">
        <v>309</v>
      </c>
      <c r="ET4" t="s">
        <v>309</v>
      </c>
      <c r="EU4" t="s">
        <v>309</v>
      </c>
      <c r="EV4" t="s">
        <v>309</v>
      </c>
      <c r="EW4" t="s">
        <v>309</v>
      </c>
      <c r="EX4" t="s">
        <v>309</v>
      </c>
      <c r="EY4" t="s">
        <v>309</v>
      </c>
      <c r="EZ4" t="s">
        <v>309</v>
      </c>
      <c r="FA4" t="s">
        <v>309</v>
      </c>
      <c r="FB4" t="s">
        <v>309</v>
      </c>
      <c r="FC4" t="s">
        <v>273</v>
      </c>
      <c r="FD4" t="str">
        <f>Table1[[#This Row],[DATE_IN]]</f>
        <v>Brt Date</v>
      </c>
      <c r="FE4" t="str">
        <f>Table1[[#This Row],[DATE_OUT]]</f>
        <v>Art Date</v>
      </c>
      <c r="FF4" t="str">
        <f>Table1[[#This Row],[BEND]]</f>
        <v>Fixed/adjustable</v>
      </c>
      <c r="FG4" t="s">
        <v>310</v>
      </c>
      <c r="FH4" t="s">
        <v>306</v>
      </c>
      <c r="FI4">
        <v>1</v>
      </c>
      <c r="FJ4" t="e">
        <f>Table1[[#This Row],[LOBES]]+Table1[[#This Row],[STAGES]]</f>
        <v>#VALUE!</v>
      </c>
      <c r="FK4" t="s">
        <v>309</v>
      </c>
      <c r="FL4" t="s">
        <v>297</v>
      </c>
      <c r="FM4" t="s">
        <v>302</v>
      </c>
      <c r="FN4" t="s">
        <v>307</v>
      </c>
      <c r="FO4" t="s">
        <v>314</v>
      </c>
    </row>
    <row r="5" spans="1:171" ht="15" customHeight="1" x14ac:dyDescent="0.25">
      <c r="A5" t="s">
        <v>284</v>
      </c>
      <c r="B5" t="s">
        <v>258</v>
      </c>
      <c r="C5" t="s">
        <v>259</v>
      </c>
      <c r="D5" t="s">
        <v>260</v>
      </c>
      <c r="E5" t="s">
        <v>2</v>
      </c>
      <c r="F5" t="s">
        <v>5</v>
      </c>
      <c r="G5" t="s">
        <v>311</v>
      </c>
      <c r="H5" t="s">
        <v>311</v>
      </c>
      <c r="I5" t="s">
        <v>311</v>
      </c>
      <c r="J5" t="s">
        <v>261</v>
      </c>
      <c r="K5" t="s">
        <v>262</v>
      </c>
      <c r="L5" t="s">
        <v>263</v>
      </c>
      <c r="M5" t="s">
        <v>311</v>
      </c>
      <c r="N5" t="s">
        <v>311</v>
      </c>
      <c r="O5" t="s">
        <v>264</v>
      </c>
      <c r="P5" t="s">
        <v>311</v>
      </c>
      <c r="Q5" t="s">
        <v>311</v>
      </c>
      <c r="R5" t="s">
        <v>311</v>
      </c>
      <c r="S5" t="s">
        <v>311</v>
      </c>
      <c r="T5" t="s">
        <v>311</v>
      </c>
      <c r="U5" t="s">
        <v>311</v>
      </c>
      <c r="V5" t="s">
        <v>311</v>
      </c>
      <c r="W5" t="s">
        <v>311</v>
      </c>
      <c r="X5" t="s">
        <v>311</v>
      </c>
      <c r="Y5" t="s">
        <v>271</v>
      </c>
      <c r="Z5" t="s">
        <v>272</v>
      </c>
      <c r="AA5" t="s">
        <v>311</v>
      </c>
      <c r="AB5" t="s">
        <v>311</v>
      </c>
      <c r="AC5" t="s">
        <v>311</v>
      </c>
      <c r="AD5" t="s">
        <v>311</v>
      </c>
      <c r="AE5" t="s">
        <v>311</v>
      </c>
      <c r="AF5" t="s">
        <v>311</v>
      </c>
      <c r="AG5" t="s">
        <v>311</v>
      </c>
      <c r="AH5" t="s">
        <v>311</v>
      </c>
      <c r="AI5" t="s">
        <v>311</v>
      </c>
      <c r="AJ5" t="s">
        <v>274</v>
      </c>
      <c r="AK5" t="s">
        <v>311</v>
      </c>
      <c r="AL5" t="s">
        <v>311</v>
      </c>
      <c r="AM5" t="s">
        <v>311</v>
      </c>
      <c r="AN5" t="s">
        <v>311</v>
      </c>
      <c r="AO5" t="s">
        <v>311</v>
      </c>
      <c r="AP5" t="s">
        <v>54</v>
      </c>
      <c r="AQ5" t="s">
        <v>311</v>
      </c>
      <c r="AR5" t="s">
        <v>265</v>
      </c>
      <c r="AS5" t="s">
        <v>54</v>
      </c>
      <c r="AT5" t="s">
        <v>311</v>
      </c>
      <c r="AU5" s="3" t="s">
        <v>277</v>
      </c>
      <c r="AV5" t="s">
        <v>311</v>
      </c>
      <c r="AW5" t="s">
        <v>311</v>
      </c>
      <c r="AX5" t="s">
        <v>278</v>
      </c>
      <c r="AY5" t="s">
        <v>279</v>
      </c>
      <c r="AZ5" t="s">
        <v>311</v>
      </c>
      <c r="BA5" t="s">
        <v>311</v>
      </c>
      <c r="BB5" t="s">
        <v>311</v>
      </c>
      <c r="BC5" t="s">
        <v>311</v>
      </c>
      <c r="BD5" t="s">
        <v>311</v>
      </c>
      <c r="BE5" t="s">
        <v>311</v>
      </c>
      <c r="BF5" t="s">
        <v>311</v>
      </c>
      <c r="BG5" t="s">
        <v>311</v>
      </c>
      <c r="BH5" t="s">
        <v>311</v>
      </c>
      <c r="BI5" t="s">
        <v>311</v>
      </c>
      <c r="BJ5" t="s">
        <v>311</v>
      </c>
      <c r="BK5" t="s">
        <v>311</v>
      </c>
      <c r="BL5" t="s">
        <v>311</v>
      </c>
      <c r="BM5" t="s">
        <v>311</v>
      </c>
      <c r="BN5" t="s">
        <v>311</v>
      </c>
      <c r="BO5" t="s">
        <v>311</v>
      </c>
      <c r="BP5" t="s">
        <v>311</v>
      </c>
      <c r="BQ5" t="s">
        <v>311</v>
      </c>
      <c r="BR5" t="s">
        <v>311</v>
      </c>
      <c r="BS5" t="s">
        <v>311</v>
      </c>
      <c r="BT5" t="s">
        <v>311</v>
      </c>
      <c r="BU5" t="s">
        <v>311</v>
      </c>
      <c r="BV5" t="s">
        <v>311</v>
      </c>
      <c r="BW5" t="s">
        <v>311</v>
      </c>
      <c r="BX5" t="s">
        <v>311</v>
      </c>
      <c r="BY5" t="s">
        <v>311</v>
      </c>
      <c r="BZ5" t="s">
        <v>311</v>
      </c>
      <c r="CA5" t="s">
        <v>311</v>
      </c>
      <c r="CB5" t="s">
        <v>311</v>
      </c>
      <c r="CC5" t="s">
        <v>311</v>
      </c>
      <c r="CD5" t="s">
        <v>311</v>
      </c>
      <c r="CE5" t="s">
        <v>311</v>
      </c>
      <c r="CF5" t="s">
        <v>311</v>
      </c>
      <c r="CG5" t="s">
        <v>311</v>
      </c>
      <c r="CH5" t="s">
        <v>311</v>
      </c>
      <c r="CI5" t="s">
        <v>311</v>
      </c>
      <c r="CJ5" t="s">
        <v>311</v>
      </c>
      <c r="CK5" t="s">
        <v>311</v>
      </c>
      <c r="CL5" t="s">
        <v>311</v>
      </c>
      <c r="CM5" t="s">
        <v>311</v>
      </c>
      <c r="CN5" t="s">
        <v>311</v>
      </c>
      <c r="CO5" t="s">
        <v>266</v>
      </c>
      <c r="CP5" t="s">
        <v>267</v>
      </c>
      <c r="CQ5" t="s">
        <v>311</v>
      </c>
      <c r="CR5" t="s">
        <v>311</v>
      </c>
      <c r="CS5" t="s">
        <v>311</v>
      </c>
      <c r="CT5" t="s">
        <v>270</v>
      </c>
      <c r="CU5" t="s">
        <v>311</v>
      </c>
      <c r="CV5" t="s">
        <v>311</v>
      </c>
      <c r="CW5" t="s">
        <v>311</v>
      </c>
      <c r="CX5" t="s">
        <v>311</v>
      </c>
      <c r="CY5" t="s">
        <v>311</v>
      </c>
      <c r="CZ5" t="s">
        <v>311</v>
      </c>
      <c r="DA5" t="s">
        <v>311</v>
      </c>
      <c r="DB5" t="s">
        <v>311</v>
      </c>
      <c r="DC5" t="s">
        <v>9</v>
      </c>
      <c r="DD5" t="s">
        <v>311</v>
      </c>
      <c r="DE5" t="s">
        <v>311</v>
      </c>
      <c r="DF5" t="s">
        <v>275</v>
      </c>
      <c r="DG5" t="s">
        <v>276</v>
      </c>
      <c r="DH5" t="s">
        <v>268</v>
      </c>
      <c r="DI5" t="s">
        <v>269</v>
      </c>
      <c r="DJ5" t="s">
        <v>311</v>
      </c>
      <c r="DK5" t="s">
        <v>311</v>
      </c>
      <c r="DL5" t="s">
        <v>311</v>
      </c>
      <c r="DM5" t="s">
        <v>311</v>
      </c>
      <c r="DN5" t="s">
        <v>311</v>
      </c>
      <c r="DO5" t="s">
        <v>311</v>
      </c>
      <c r="DP5" t="s">
        <v>311</v>
      </c>
      <c r="DQ5" t="s">
        <v>311</v>
      </c>
      <c r="DR5" t="s">
        <v>311</v>
      </c>
      <c r="DS5" t="s">
        <v>311</v>
      </c>
      <c r="DT5" t="s">
        <v>311</v>
      </c>
      <c r="DU5" t="s">
        <v>311</v>
      </c>
      <c r="DV5" t="s">
        <v>311</v>
      </c>
      <c r="DW5" t="s">
        <v>311</v>
      </c>
      <c r="DX5" t="s">
        <v>311</v>
      </c>
      <c r="DY5" t="s">
        <v>311</v>
      </c>
      <c r="DZ5" t="s">
        <v>182</v>
      </c>
      <c r="EA5" t="s">
        <v>280</v>
      </c>
      <c r="EB5" t="s">
        <v>311</v>
      </c>
      <c r="EC5" t="s">
        <v>311</v>
      </c>
      <c r="ED5" t="s">
        <v>281</v>
      </c>
      <c r="EE5" t="s">
        <v>311</v>
      </c>
      <c r="EF5" t="s">
        <v>311</v>
      </c>
      <c r="EG5" t="s">
        <v>311</v>
      </c>
      <c r="EH5" t="s">
        <v>283</v>
      </c>
      <c r="EI5" t="s">
        <v>311</v>
      </c>
      <c r="EJ5" t="s">
        <v>311</v>
      </c>
      <c r="EK5" t="s">
        <v>311</v>
      </c>
      <c r="EL5" t="s">
        <v>311</v>
      </c>
      <c r="EM5" t="s">
        <v>311</v>
      </c>
      <c r="EN5" t="s">
        <v>311</v>
      </c>
      <c r="EO5" t="s">
        <v>311</v>
      </c>
      <c r="EP5" t="s">
        <v>311</v>
      </c>
      <c r="EQ5" t="s">
        <v>311</v>
      </c>
      <c r="ER5" t="s">
        <v>311</v>
      </c>
      <c r="ES5" t="s">
        <v>311</v>
      </c>
      <c r="ET5" t="s">
        <v>311</v>
      </c>
      <c r="EU5" t="s">
        <v>311</v>
      </c>
      <c r="EV5" t="s">
        <v>311</v>
      </c>
      <c r="EW5" t="s">
        <v>311</v>
      </c>
      <c r="EX5" t="s">
        <v>311</v>
      </c>
      <c r="EY5" t="s">
        <v>311</v>
      </c>
      <c r="EZ5" t="s">
        <v>311</v>
      </c>
      <c r="FA5" t="s">
        <v>311</v>
      </c>
      <c r="FB5" t="s">
        <v>311</v>
      </c>
      <c r="FC5" t="s">
        <v>273</v>
      </c>
      <c r="FD5" t="str">
        <f>Table1[[#This Row],[DATE_IN]]</f>
        <v>Brt Date</v>
      </c>
      <c r="FE5" t="str">
        <f>Table1[[#This Row],[DATE_OUT]]</f>
        <v>Art Date</v>
      </c>
      <c r="FF5" t="str">
        <f>Table1[[#This Row],[BEND]]</f>
        <v>Fixed/adjustable</v>
      </c>
      <c r="FG5" t="s">
        <v>310</v>
      </c>
      <c r="FH5" t="s">
        <v>306</v>
      </c>
      <c r="FI5">
        <v>1</v>
      </c>
      <c r="FJ5" t="e">
        <f>Table1[[#This Row],[LOBES]]+Table1[[#This Row],[STAGES]]</f>
        <v>#VALUE!</v>
      </c>
      <c r="FK5" t="s">
        <v>311</v>
      </c>
      <c r="FL5" t="s">
        <v>298</v>
      </c>
      <c r="FM5" t="s">
        <v>302</v>
      </c>
      <c r="FN5" t="s">
        <v>307</v>
      </c>
      <c r="FO5" t="s">
        <v>314</v>
      </c>
    </row>
    <row r="6" spans="1:171" ht="15" customHeight="1" x14ac:dyDescent="0.25"/>
    <row r="7" spans="1:171" ht="15" customHeight="1" x14ac:dyDescent="0.25"/>
    <row r="8" spans="1:171" ht="15" customHeight="1" x14ac:dyDescent="0.25"/>
    <row r="9" spans="1:171" ht="15" customHeight="1" x14ac:dyDescent="0.25"/>
    <row r="10" spans="1:171" ht="15" customHeight="1" x14ac:dyDescent="0.25"/>
    <row r="11" spans="1:171" ht="15" customHeight="1" x14ac:dyDescent="0.25"/>
    <row r="12" spans="1:171" ht="15" customHeight="1" x14ac:dyDescent="0.25"/>
    <row r="13" spans="1:171" ht="15" customHeight="1" x14ac:dyDescent="0.25"/>
    <row r="14" spans="1:171" ht="15" customHeight="1" x14ac:dyDescent="0.25"/>
    <row r="15" spans="1:171" ht="15" customHeight="1" x14ac:dyDescent="0.25"/>
    <row r="16" spans="1:171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Soberanes</dc:creator>
  <cp:lastModifiedBy>Juan Soberanes</cp:lastModifiedBy>
  <dcterms:created xsi:type="dcterms:W3CDTF">2025-10-27T15:50:52Z</dcterms:created>
  <dcterms:modified xsi:type="dcterms:W3CDTF">2025-10-30T17:00:23Z</dcterms:modified>
</cp:coreProperties>
</file>